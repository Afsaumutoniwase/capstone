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omarshalash/My Drive/Supervision/Hydroponic/Envirnomental Quality/"/>
    </mc:Choice>
  </mc:AlternateContent>
  <xr:revisionPtr revIDLastSave="0" documentId="13_ncr:1_{767F6B0C-64E6-8744-9FE7-A8F156EABE0B}" xr6:coauthVersionLast="47" xr6:coauthVersionMax="47" xr10:uidLastSave="{00000000-0000-0000-0000-000000000000}"/>
  <bookViews>
    <workbookView xWindow="0" yWindow="740" windowWidth="29400" windowHeight="16680" activeTab="5" xr2:uid="{00000000-000D-0000-FFFF-FFFF00000000}"/>
  </bookViews>
  <sheets>
    <sheet name="Seedlings measurements" sheetId="1" r:id="rId1"/>
    <sheet name="Water quality measurments Senso" sheetId="2" r:id="rId2"/>
    <sheet name="Water quality parametersPortabl" sheetId="3" r:id="rId3"/>
    <sheet name="Nutrients  Water consumptions" sheetId="4" r:id="rId4"/>
    <sheet name="Harvest measurements" sheetId="5" r:id="rId5"/>
    <sheet name="Test Taste" sheetId="6" r:id="rId6"/>
    <sheet name="Form Responses 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5" l="1"/>
  <c r="J94" i="5"/>
  <c r="E94" i="5"/>
  <c r="J93" i="5"/>
  <c r="E93" i="5"/>
  <c r="J92" i="5"/>
  <c r="E92" i="5"/>
  <c r="J91" i="5"/>
  <c r="E91" i="5"/>
  <c r="J90" i="5"/>
  <c r="E90" i="5"/>
  <c r="J89" i="5"/>
  <c r="E89" i="5"/>
  <c r="J88" i="5"/>
  <c r="E88" i="5"/>
  <c r="J87" i="5"/>
  <c r="E87" i="5"/>
  <c r="J86" i="5"/>
  <c r="E86" i="5"/>
  <c r="J85" i="5"/>
  <c r="E85" i="5"/>
  <c r="J84" i="5"/>
  <c r="E84" i="5"/>
  <c r="J83" i="5"/>
  <c r="E83" i="5"/>
  <c r="B79" i="5"/>
  <c r="J78" i="5"/>
  <c r="E78" i="5"/>
  <c r="J77" i="5"/>
  <c r="E77" i="5"/>
  <c r="J76" i="5"/>
  <c r="E76" i="5"/>
  <c r="J75" i="5"/>
  <c r="E75" i="5"/>
  <c r="J74" i="5"/>
  <c r="E74" i="5"/>
  <c r="J73" i="5"/>
  <c r="E73" i="5"/>
  <c r="J72" i="5"/>
  <c r="E72" i="5"/>
  <c r="J71" i="5"/>
  <c r="E71" i="5"/>
  <c r="J70" i="5"/>
  <c r="E70" i="5"/>
  <c r="J69" i="5"/>
  <c r="E69" i="5"/>
  <c r="J68" i="5"/>
  <c r="E68" i="5"/>
  <c r="J67" i="5"/>
  <c r="E67" i="5"/>
  <c r="B63" i="5"/>
  <c r="J62" i="5"/>
  <c r="E62" i="5"/>
  <c r="J61" i="5"/>
  <c r="E61" i="5"/>
  <c r="J60" i="5"/>
  <c r="E60" i="5"/>
  <c r="J59" i="5"/>
  <c r="E59" i="5"/>
  <c r="J58" i="5"/>
  <c r="E58" i="5"/>
  <c r="J57" i="5"/>
  <c r="E57" i="5"/>
  <c r="J56" i="5"/>
  <c r="E56" i="5"/>
  <c r="J55" i="5"/>
  <c r="E55" i="5"/>
  <c r="J54" i="5"/>
  <c r="E54" i="5"/>
  <c r="J53" i="5"/>
  <c r="E53" i="5"/>
  <c r="J52" i="5"/>
  <c r="E52" i="5"/>
  <c r="J51" i="5"/>
  <c r="E51" i="5"/>
  <c r="B47" i="5"/>
  <c r="J46" i="5"/>
  <c r="E46" i="5"/>
  <c r="J45" i="5"/>
  <c r="E45" i="5"/>
  <c r="J44" i="5"/>
  <c r="E44" i="5"/>
  <c r="J43" i="5"/>
  <c r="E43" i="5"/>
  <c r="J42" i="5"/>
  <c r="E42" i="5"/>
  <c r="J41" i="5"/>
  <c r="E41" i="5"/>
  <c r="J40" i="5"/>
  <c r="E40" i="5"/>
  <c r="J39" i="5"/>
  <c r="E39" i="5"/>
  <c r="J38" i="5"/>
  <c r="E38" i="5"/>
  <c r="J37" i="5"/>
  <c r="E37" i="5"/>
  <c r="J36" i="5"/>
  <c r="E36" i="5"/>
  <c r="J35" i="5"/>
  <c r="E35" i="5"/>
  <c r="B31" i="5"/>
  <c r="J30" i="5"/>
  <c r="E30" i="5"/>
  <c r="J29" i="5"/>
  <c r="E29" i="5"/>
  <c r="J28" i="5"/>
  <c r="E28" i="5"/>
  <c r="J27" i="5"/>
  <c r="E27" i="5"/>
  <c r="J26" i="5"/>
  <c r="E26" i="5"/>
  <c r="J25" i="5"/>
  <c r="E25" i="5"/>
  <c r="J24" i="5"/>
  <c r="E24" i="5"/>
  <c r="J23" i="5"/>
  <c r="E23" i="5"/>
  <c r="J22" i="5"/>
  <c r="E22" i="5"/>
  <c r="J21" i="5"/>
  <c r="E21" i="5"/>
  <c r="J20" i="5"/>
  <c r="E20" i="5"/>
  <c r="J19" i="5"/>
  <c r="E19" i="5"/>
  <c r="B15" i="5"/>
  <c r="J14" i="5"/>
  <c r="E14" i="5"/>
  <c r="J13" i="5"/>
  <c r="E13" i="5"/>
  <c r="J12" i="5"/>
  <c r="E12" i="5"/>
  <c r="J11" i="5"/>
  <c r="E11" i="5"/>
  <c r="J10" i="5"/>
  <c r="E10" i="5"/>
  <c r="J9" i="5"/>
  <c r="E9" i="5"/>
  <c r="J8" i="5"/>
  <c r="E8" i="5"/>
  <c r="J7" i="5"/>
  <c r="E7" i="5"/>
  <c r="J6" i="5"/>
  <c r="E6" i="5"/>
  <c r="J5" i="5"/>
  <c r="E5" i="5"/>
  <c r="J4" i="5"/>
  <c r="E4" i="5"/>
  <c r="J3" i="5"/>
  <c r="E3" i="5"/>
  <c r="O26" i="4"/>
  <c r="N26" i="4"/>
  <c r="M26" i="4"/>
  <c r="L26" i="4"/>
  <c r="K26" i="4"/>
  <c r="J26" i="4"/>
  <c r="G26" i="4"/>
  <c r="F26" i="4"/>
  <c r="E26" i="4"/>
  <c r="D26" i="4"/>
  <c r="C26" i="4"/>
  <c r="B26" i="4"/>
  <c r="AZ32" i="3"/>
  <c r="AV32" i="3"/>
  <c r="AR32" i="3"/>
  <c r="AN32" i="3"/>
  <c r="AJ32" i="3"/>
  <c r="AF32" i="3"/>
  <c r="X32" i="3"/>
  <c r="T32" i="3"/>
  <c r="P32" i="3"/>
  <c r="L32" i="3"/>
  <c r="H32" i="3"/>
  <c r="D32" i="3"/>
  <c r="X31" i="3"/>
  <c r="T31" i="3"/>
  <c r="P31" i="3"/>
  <c r="L31" i="3"/>
  <c r="H31" i="3"/>
  <c r="D31" i="3"/>
  <c r="AZ30" i="3"/>
  <c r="AV30" i="3"/>
  <c r="AR30" i="3"/>
  <c r="AN30" i="3"/>
  <c r="AJ30" i="3"/>
  <c r="AF30" i="3"/>
  <c r="X30" i="3"/>
  <c r="T30" i="3"/>
  <c r="P30" i="3"/>
  <c r="L30" i="3"/>
  <c r="H30" i="3"/>
  <c r="D30" i="3"/>
  <c r="AZ29" i="3"/>
  <c r="AV29" i="3"/>
  <c r="AR29" i="3"/>
  <c r="AN29" i="3"/>
  <c r="AJ29" i="3"/>
  <c r="AF29" i="3"/>
  <c r="X29" i="3"/>
  <c r="T29" i="3"/>
  <c r="P29" i="3"/>
  <c r="L29" i="3"/>
  <c r="H29" i="3"/>
  <c r="D29" i="3"/>
  <c r="AZ28" i="3"/>
  <c r="AV28" i="3"/>
  <c r="AR28" i="3"/>
  <c r="AN28" i="3"/>
  <c r="AJ28" i="3"/>
  <c r="AF28" i="3"/>
  <c r="X28" i="3"/>
  <c r="T28" i="3"/>
  <c r="P28" i="3"/>
  <c r="L28" i="3"/>
  <c r="H28" i="3"/>
  <c r="D28" i="3"/>
  <c r="AZ27" i="3"/>
  <c r="AV27" i="3"/>
  <c r="AR27" i="3"/>
  <c r="AN27" i="3"/>
  <c r="AJ27" i="3"/>
  <c r="AF27" i="3"/>
  <c r="X27" i="3"/>
  <c r="T27" i="3"/>
  <c r="P27" i="3"/>
  <c r="L27" i="3"/>
  <c r="H27" i="3"/>
  <c r="D27" i="3"/>
  <c r="AZ26" i="3"/>
  <c r="AV26" i="3"/>
  <c r="AR26" i="3"/>
  <c r="AN26" i="3"/>
  <c r="AJ26" i="3"/>
  <c r="AF26" i="3"/>
  <c r="X26" i="3"/>
  <c r="T26" i="3"/>
  <c r="P26" i="3"/>
  <c r="L26" i="3"/>
  <c r="H26" i="3"/>
  <c r="D26" i="3"/>
  <c r="AZ25" i="3"/>
  <c r="AV25" i="3"/>
  <c r="AR25" i="3"/>
  <c r="AN25" i="3"/>
  <c r="AJ25" i="3"/>
  <c r="AF25" i="3"/>
  <c r="X25" i="3"/>
  <c r="T25" i="3"/>
  <c r="P25" i="3"/>
  <c r="L25" i="3"/>
  <c r="H25" i="3"/>
  <c r="D25" i="3"/>
  <c r="AZ24" i="3"/>
  <c r="AV24" i="3"/>
  <c r="AR24" i="3"/>
  <c r="AN24" i="3"/>
  <c r="AJ24" i="3"/>
  <c r="AF24" i="3"/>
  <c r="X24" i="3"/>
  <c r="T24" i="3"/>
  <c r="P24" i="3"/>
  <c r="L24" i="3"/>
  <c r="H24" i="3"/>
  <c r="D24" i="3"/>
  <c r="AZ23" i="3"/>
  <c r="AV23" i="3"/>
  <c r="AR23" i="3"/>
  <c r="AN23" i="3"/>
  <c r="AJ23" i="3"/>
  <c r="AF23" i="3"/>
  <c r="X23" i="3"/>
  <c r="T23" i="3"/>
  <c r="P23" i="3"/>
  <c r="L23" i="3"/>
  <c r="H23" i="3"/>
  <c r="D23" i="3"/>
  <c r="AZ22" i="3"/>
  <c r="AV22" i="3"/>
  <c r="AR22" i="3"/>
  <c r="AN22" i="3"/>
  <c r="AJ22" i="3"/>
  <c r="AF22" i="3"/>
  <c r="X22" i="3"/>
  <c r="T22" i="3"/>
  <c r="P22" i="3"/>
  <c r="L22" i="3"/>
  <c r="H22" i="3"/>
  <c r="D22" i="3"/>
  <c r="AZ21" i="3"/>
  <c r="AV21" i="3"/>
  <c r="AR21" i="3"/>
  <c r="AN21" i="3"/>
  <c r="AJ21" i="3"/>
  <c r="AF21" i="3"/>
  <c r="X21" i="3"/>
  <c r="T21" i="3"/>
  <c r="P21" i="3"/>
  <c r="L21" i="3"/>
  <c r="H21" i="3"/>
  <c r="D21" i="3"/>
  <c r="AZ20" i="3"/>
  <c r="AV20" i="3"/>
  <c r="AR20" i="3"/>
  <c r="AN20" i="3"/>
  <c r="AJ20" i="3"/>
  <c r="AF20" i="3"/>
  <c r="X20" i="3"/>
  <c r="T20" i="3"/>
  <c r="P20" i="3"/>
  <c r="L20" i="3"/>
  <c r="H20" i="3"/>
  <c r="D20" i="3"/>
  <c r="X19" i="3"/>
  <c r="T19" i="3"/>
  <c r="P19" i="3"/>
  <c r="L19" i="3"/>
  <c r="H19" i="3"/>
  <c r="D19" i="3"/>
  <c r="AZ18" i="3"/>
  <c r="AV18" i="3"/>
  <c r="AR18" i="3"/>
  <c r="AN18" i="3"/>
  <c r="AJ18" i="3"/>
  <c r="AF18" i="3"/>
  <c r="X18" i="3"/>
  <c r="T18" i="3"/>
  <c r="P18" i="3"/>
  <c r="L18" i="3"/>
  <c r="H18" i="3"/>
  <c r="D18" i="3"/>
  <c r="AZ17" i="3"/>
  <c r="AV17" i="3"/>
  <c r="AR17" i="3"/>
  <c r="AN17" i="3"/>
  <c r="AJ17" i="3"/>
  <c r="AF17" i="3"/>
  <c r="X17" i="3"/>
  <c r="T17" i="3"/>
  <c r="P17" i="3"/>
  <c r="L17" i="3"/>
  <c r="H17" i="3"/>
  <c r="D17" i="3"/>
  <c r="AZ16" i="3"/>
  <c r="AV16" i="3"/>
  <c r="AR16" i="3"/>
  <c r="AJ16" i="3"/>
  <c r="AF16" i="3"/>
  <c r="X16" i="3"/>
  <c r="T16" i="3"/>
  <c r="P16" i="3"/>
  <c r="L16" i="3"/>
  <c r="H16" i="3"/>
  <c r="D16" i="3"/>
  <c r="AZ15" i="3"/>
  <c r="AV15" i="3"/>
  <c r="AR15" i="3"/>
  <c r="AN15" i="3"/>
  <c r="AJ15" i="3"/>
  <c r="AF15" i="3"/>
  <c r="X15" i="3"/>
  <c r="T15" i="3"/>
  <c r="P15" i="3"/>
  <c r="L15" i="3"/>
  <c r="H15" i="3"/>
  <c r="D15" i="3"/>
  <c r="AZ14" i="3"/>
  <c r="AV14" i="3"/>
  <c r="AR14" i="3"/>
  <c r="AN14" i="3"/>
  <c r="AJ14" i="3"/>
  <c r="AF14" i="3"/>
  <c r="X14" i="3"/>
  <c r="T14" i="3"/>
  <c r="P14" i="3"/>
  <c r="L14" i="3"/>
  <c r="H14" i="3"/>
  <c r="D14" i="3"/>
  <c r="AZ13" i="3"/>
  <c r="AV13" i="3"/>
  <c r="AR13" i="3"/>
  <c r="AN13" i="3"/>
  <c r="AJ13" i="3"/>
  <c r="AF13" i="3"/>
  <c r="X13" i="3"/>
  <c r="T13" i="3"/>
  <c r="P13" i="3"/>
  <c r="L13" i="3"/>
  <c r="H13" i="3"/>
  <c r="D13" i="3"/>
  <c r="AZ12" i="3"/>
  <c r="AV12" i="3"/>
  <c r="AR12" i="3"/>
  <c r="AN12" i="3"/>
  <c r="AJ12" i="3"/>
  <c r="AF12" i="3"/>
  <c r="X12" i="3"/>
  <c r="T12" i="3"/>
  <c r="P12" i="3"/>
  <c r="L12" i="3"/>
  <c r="H12" i="3"/>
  <c r="D12" i="3"/>
  <c r="AZ11" i="3"/>
  <c r="AV11" i="3"/>
  <c r="AR11" i="3"/>
  <c r="AN11" i="3"/>
  <c r="AJ11" i="3"/>
  <c r="AF11" i="3"/>
  <c r="X11" i="3"/>
  <c r="T11" i="3"/>
  <c r="P11" i="3"/>
  <c r="L11" i="3"/>
  <c r="H11" i="3"/>
  <c r="D11" i="3"/>
  <c r="AZ10" i="3"/>
  <c r="AV10" i="3"/>
  <c r="AR10" i="3"/>
  <c r="AN10" i="3"/>
  <c r="AJ10" i="3"/>
  <c r="AF10" i="3"/>
  <c r="X10" i="3"/>
  <c r="T10" i="3"/>
  <c r="P10" i="3"/>
  <c r="L10" i="3"/>
  <c r="H10" i="3"/>
  <c r="D10" i="3"/>
  <c r="AZ9" i="3"/>
  <c r="AV9" i="3"/>
  <c r="AR9" i="3"/>
  <c r="AN9" i="3"/>
  <c r="AJ9" i="3"/>
  <c r="AF9" i="3"/>
  <c r="X9" i="3"/>
  <c r="T9" i="3"/>
  <c r="P9" i="3"/>
  <c r="L9" i="3"/>
  <c r="H9" i="3"/>
  <c r="D9" i="3"/>
  <c r="AZ8" i="3"/>
  <c r="AV8" i="3"/>
  <c r="AR8" i="3"/>
  <c r="AN8" i="3"/>
  <c r="AJ8" i="3"/>
  <c r="AF8" i="3"/>
  <c r="X8" i="3"/>
  <c r="T8" i="3"/>
  <c r="P8" i="3"/>
  <c r="L8" i="3"/>
  <c r="H8" i="3"/>
  <c r="D8" i="3"/>
  <c r="AZ7" i="3"/>
  <c r="AV7" i="3"/>
  <c r="AR7" i="3"/>
  <c r="AN7" i="3"/>
  <c r="AJ7" i="3"/>
  <c r="AF7" i="3"/>
  <c r="X7" i="3"/>
  <c r="T7" i="3"/>
  <c r="P7" i="3"/>
  <c r="L7" i="3"/>
  <c r="H7" i="3"/>
  <c r="D7" i="3"/>
  <c r="AZ6" i="3"/>
  <c r="AV6" i="3"/>
  <c r="AR6" i="3"/>
  <c r="AN6" i="3"/>
  <c r="AJ6" i="3"/>
  <c r="AF6" i="3"/>
  <c r="X6" i="3"/>
  <c r="T6" i="3"/>
  <c r="P6" i="3"/>
  <c r="L6" i="3"/>
  <c r="H6" i="3"/>
  <c r="D6" i="3"/>
  <c r="X5" i="3"/>
  <c r="T5" i="3"/>
  <c r="P5" i="3"/>
  <c r="L5" i="3"/>
  <c r="H5" i="3"/>
  <c r="D5" i="3"/>
  <c r="X4" i="3"/>
  <c r="T4" i="3"/>
  <c r="P4" i="3"/>
  <c r="L4" i="3"/>
  <c r="H4" i="3"/>
  <c r="D4" i="3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J4" i="1"/>
  <c r="E4" i="1"/>
  <c r="J3" i="1"/>
  <c r="E3" i="1"/>
</calcChain>
</file>

<file path=xl/sharedStrings.xml><?xml version="1.0" encoding="utf-8"?>
<sst xmlns="http://schemas.openxmlformats.org/spreadsheetml/2006/main" count="545" uniqueCount="143">
  <si>
    <t>EXP 2</t>
  </si>
  <si>
    <t xml:space="preserve">Date </t>
  </si>
  <si>
    <t xml:space="preserve">plant NO. </t>
  </si>
  <si>
    <t>plant height  (cm)</t>
  </si>
  <si>
    <t>shoot length (cm)</t>
  </si>
  <si>
    <t>root length (cm)</t>
  </si>
  <si>
    <t>head diameter (cm)</t>
  </si>
  <si>
    <t>stem diameter  (cm)</t>
  </si>
  <si>
    <t>total weight (g)</t>
  </si>
  <si>
    <t>shoot weight (g)</t>
  </si>
  <si>
    <t>root weight (g)</t>
  </si>
  <si>
    <t>no. of leaves</t>
  </si>
  <si>
    <t>7*8</t>
  </si>
  <si>
    <t>6*7</t>
  </si>
  <si>
    <t>5*6</t>
  </si>
  <si>
    <t>6*4</t>
  </si>
  <si>
    <t>6*4.5</t>
  </si>
  <si>
    <t>6*.6.5</t>
  </si>
  <si>
    <t>6.5*5</t>
  </si>
  <si>
    <t>6*5</t>
  </si>
  <si>
    <t>7*5</t>
  </si>
  <si>
    <t>7*6</t>
  </si>
  <si>
    <t>6.5*4</t>
  </si>
  <si>
    <t>Replicate 1 T1</t>
  </si>
  <si>
    <t xml:space="preserve">Tme </t>
  </si>
  <si>
    <t>pH.</t>
  </si>
  <si>
    <t xml:space="preserve">EC. </t>
  </si>
  <si>
    <t xml:space="preserve">TDS. </t>
  </si>
  <si>
    <t xml:space="preserve">Water temp. </t>
  </si>
  <si>
    <t>RH%</t>
  </si>
  <si>
    <t xml:space="preserve">Air temp. </t>
  </si>
  <si>
    <t xml:space="preserve">CO2 </t>
  </si>
  <si>
    <t xml:space="preserve"> </t>
  </si>
  <si>
    <t xml:space="preserve">Air parameters </t>
  </si>
  <si>
    <t>Replicate 2 T1</t>
  </si>
  <si>
    <t>Replicate 3 T1</t>
  </si>
  <si>
    <t>Replicate 1 T2</t>
  </si>
  <si>
    <t>Replicate 2 T2</t>
  </si>
  <si>
    <t>Replicate 3 T2</t>
  </si>
  <si>
    <t>Lux</t>
  </si>
  <si>
    <t>Rh %</t>
  </si>
  <si>
    <t xml:space="preserve">TDS </t>
  </si>
  <si>
    <t>pH</t>
  </si>
  <si>
    <t xml:space="preserve">EC </t>
  </si>
  <si>
    <t>16/4/2024</t>
  </si>
  <si>
    <t>-</t>
  </si>
  <si>
    <t>17/4/2024</t>
  </si>
  <si>
    <t>18/4/2024</t>
  </si>
  <si>
    <t>19/4/2024</t>
  </si>
  <si>
    <t>20/4/2024</t>
  </si>
  <si>
    <t>21/4/2024</t>
  </si>
  <si>
    <t>22/4/2024</t>
  </si>
  <si>
    <t>23/4/2024</t>
  </si>
  <si>
    <t>24/4/2024</t>
  </si>
  <si>
    <t>25/4/2024</t>
  </si>
  <si>
    <t>26/4/2024</t>
  </si>
  <si>
    <t>27/4/2024</t>
  </si>
  <si>
    <t>28/4/2024</t>
  </si>
  <si>
    <t>29/4/2024</t>
  </si>
  <si>
    <t>30/4/2024</t>
  </si>
  <si>
    <t>13/4/2024</t>
  </si>
  <si>
    <t>14/4/2024</t>
  </si>
  <si>
    <t>Nutrient solution addition (A+B) ml.</t>
  </si>
  <si>
    <t>Water consumption L.</t>
  </si>
  <si>
    <t xml:space="preserve">Total </t>
  </si>
  <si>
    <t>R1-T1</t>
  </si>
  <si>
    <t>Plant No.</t>
  </si>
  <si>
    <t>Total weight (g)</t>
  </si>
  <si>
    <t>Plant height (cm)</t>
  </si>
  <si>
    <t>Shoot length (cm)</t>
  </si>
  <si>
    <t>Root length (cm)</t>
  </si>
  <si>
    <t>Head diameter (cm)</t>
  </si>
  <si>
    <t>Stem diameter (cm)</t>
  </si>
  <si>
    <t>Shoot weight before removing wilted leaves (g)</t>
  </si>
  <si>
    <t>shoot weight after removing wilted leaves(g)</t>
  </si>
  <si>
    <t>Root weight (g)</t>
  </si>
  <si>
    <t>No. of leaves</t>
  </si>
  <si>
    <t>25*26</t>
  </si>
  <si>
    <t>30*25</t>
  </si>
  <si>
    <t>29*30</t>
  </si>
  <si>
    <t>30*31</t>
  </si>
  <si>
    <t>27*30</t>
  </si>
  <si>
    <t>28*29</t>
  </si>
  <si>
    <t>27*27</t>
  </si>
  <si>
    <t>30*30</t>
  </si>
  <si>
    <t>26*27</t>
  </si>
  <si>
    <t>29*28</t>
  </si>
  <si>
    <t>R2-T1</t>
  </si>
  <si>
    <t>33*28</t>
  </si>
  <si>
    <t>30*28</t>
  </si>
  <si>
    <t>28*28</t>
  </si>
  <si>
    <t>28*26</t>
  </si>
  <si>
    <t>28*33</t>
  </si>
  <si>
    <t>30*29</t>
  </si>
  <si>
    <t>30*32</t>
  </si>
  <si>
    <t>30*35</t>
  </si>
  <si>
    <t>30*34</t>
  </si>
  <si>
    <t>27*26</t>
  </si>
  <si>
    <t>R3-T1</t>
  </si>
  <si>
    <t>30*27</t>
  </si>
  <si>
    <t>27*22.5</t>
  </si>
  <si>
    <t>27*23</t>
  </si>
  <si>
    <t>30*33</t>
  </si>
  <si>
    <t>R1-T2</t>
  </si>
  <si>
    <t>35*35</t>
  </si>
  <si>
    <t>29*25</t>
  </si>
  <si>
    <t>28*27</t>
  </si>
  <si>
    <t>33*30</t>
  </si>
  <si>
    <t>26*26</t>
  </si>
  <si>
    <t>R2-T2</t>
  </si>
  <si>
    <t>27*29</t>
  </si>
  <si>
    <t>28*35</t>
  </si>
  <si>
    <t>32*35</t>
  </si>
  <si>
    <t>R3-T2</t>
  </si>
  <si>
    <t>27*24</t>
  </si>
  <si>
    <t>25*25</t>
  </si>
  <si>
    <t>26*25</t>
  </si>
  <si>
    <t>29*26</t>
  </si>
  <si>
    <t>27*25</t>
  </si>
  <si>
    <t>R1</t>
  </si>
  <si>
    <t>R2</t>
  </si>
  <si>
    <t>Timestamp</t>
  </si>
  <si>
    <t>Age</t>
  </si>
  <si>
    <t xml:space="preserve">Gender </t>
  </si>
  <si>
    <t>Smell (الرائحة)</t>
  </si>
  <si>
    <t>Appearance (المظهر)</t>
  </si>
  <si>
    <t>Flavor (الطعم)</t>
  </si>
  <si>
    <t>Crunchy (مقرمش)</t>
  </si>
  <si>
    <t>Sweetness (الحلاوة )</t>
  </si>
  <si>
    <t>Bitter (المرارة)</t>
  </si>
  <si>
    <t>Color (اللون)</t>
  </si>
  <si>
    <t>After taste (المذاق الأخير)</t>
  </si>
  <si>
    <t>Acceptance</t>
  </si>
  <si>
    <t>Overall evaluation (The best)</t>
  </si>
  <si>
    <t>Comments</t>
  </si>
  <si>
    <t>Male</t>
  </si>
  <si>
    <t>Fresh</t>
  </si>
  <si>
    <t>5 (Extremely sweet  )</t>
  </si>
  <si>
    <t>5 (Extremely Bitter )</t>
  </si>
  <si>
    <t>10 (like extremely )</t>
  </si>
  <si>
    <t>Normal</t>
  </si>
  <si>
    <t>1 (Not at all bitter)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</si>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</sst>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\-d\-yyyy"/>
    <numFmt numFmtId="165" formatCode="mmm\ d\,\ yyyy"/>
    <numFmt numFmtId="166" formatCode="m/d/yyyy"/>
    <numFmt numFmtId="167" formatCode="m/d/yyyy\ h:mm:ss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2"/>
      <color rgb="FF000000"/>
      <name val="Calibri"/>
      <family val="2"/>
    </font>
    <font>
      <b/>
      <sz val="13"/>
      <color theme="1"/>
      <name val="Arial"/>
      <family val="2"/>
      <scheme val="minor"/>
    </font>
    <font>
      <b/>
      <sz val="15"/>
      <color rgb="FFFFFFFF"/>
      <name val="Arial"/>
      <family val="2"/>
      <scheme val="minor"/>
    </font>
    <font>
      <sz val="12"/>
      <color theme="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0" xfId="0" applyFont="1" applyFill="1"/>
    <xf numFmtId="0" fontId="5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3" borderId="0" xfId="0" applyNumberFormat="1" applyFont="1" applyFill="1" applyAlignment="1">
      <alignment horizontal="center"/>
    </xf>
    <xf numFmtId="19" fontId="5" fillId="3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19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0" fontId="5" fillId="0" borderId="0" xfId="0" applyFont="1"/>
    <xf numFmtId="0" fontId="5" fillId="8" borderId="0" xfId="0" applyFont="1" applyFill="1"/>
    <xf numFmtId="0" fontId="5" fillId="14" borderId="4" xfId="0" applyFont="1" applyFill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5" fillId="15" borderId="4" xfId="0" applyFont="1" applyFill="1" applyBorder="1" applyAlignment="1">
      <alignment horizontal="center"/>
    </xf>
    <xf numFmtId="0" fontId="1" fillId="0" borderId="0" xfId="0" applyFont="1"/>
    <xf numFmtId="0" fontId="1" fillId="16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4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5" xfId="0" applyFont="1" applyBorder="1"/>
    <xf numFmtId="0" fontId="5" fillId="4" borderId="7" xfId="0" applyFont="1" applyFill="1" applyBorder="1" applyAlignment="1">
      <alignment horizontal="center"/>
    </xf>
    <xf numFmtId="0" fontId="3" fillId="0" borderId="6" xfId="0" applyFont="1" applyBorder="1"/>
    <xf numFmtId="0" fontId="6" fillId="5" borderId="0" xfId="0" applyFont="1" applyFill="1" applyAlignment="1">
      <alignment horizontal="center"/>
    </xf>
    <xf numFmtId="0" fontId="0" fillId="0" borderId="0" xfId="0"/>
    <xf numFmtId="0" fontId="5" fillId="12" borderId="8" xfId="0" applyFont="1" applyFill="1" applyBorder="1" applyAlignment="1">
      <alignment horizontal="center" vertical="center"/>
    </xf>
    <xf numFmtId="18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8" fontId="5" fillId="8" borderId="0" xfId="0" applyNumberFormat="1" applyFont="1" applyFill="1" applyAlignment="1">
      <alignment horizontal="center"/>
    </xf>
    <xf numFmtId="18" fontId="9" fillId="9" borderId="0" xfId="0" applyNumberFormat="1" applyFont="1" applyFill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10" fillId="14" borderId="7" xfId="0" applyFont="1" applyFill="1" applyBorder="1" applyAlignment="1">
      <alignment horizontal="center"/>
    </xf>
    <xf numFmtId="0" fontId="3" fillId="0" borderId="9" xfId="0" applyFont="1" applyBorder="1"/>
    <xf numFmtId="0" fontId="5" fillId="11" borderId="8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workbookViewId="0">
      <selection activeCell="G26" sqref="G26"/>
    </sheetView>
  </sheetViews>
  <sheetFormatPr baseColWidth="10" defaultColWidth="12.6640625" defaultRowHeight="15.75" customHeight="1" x14ac:dyDescent="0.15"/>
  <cols>
    <col min="1" max="1" width="12.6640625" customWidth="1"/>
    <col min="5" max="5" width="13.6640625" customWidth="1"/>
  </cols>
  <sheetData>
    <row r="1" spans="1:11" ht="15.75" customHeight="1" x14ac:dyDescent="0.15">
      <c r="A1" s="1"/>
      <c r="B1" s="38" t="s">
        <v>0</v>
      </c>
      <c r="C1" s="39"/>
      <c r="D1" s="39"/>
      <c r="E1" s="39"/>
      <c r="F1" s="39"/>
      <c r="G1" s="39"/>
      <c r="H1" s="39"/>
      <c r="I1" s="39"/>
      <c r="J1" s="39"/>
      <c r="K1" s="1"/>
    </row>
    <row r="2" spans="1:11" ht="15.7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</row>
    <row r="3" spans="1:11" ht="15.75" customHeight="1" x14ac:dyDescent="0.15">
      <c r="A3" s="40"/>
      <c r="B3" s="4">
        <v>1</v>
      </c>
      <c r="C3" s="5">
        <v>11</v>
      </c>
      <c r="D3" s="5">
        <v>5</v>
      </c>
      <c r="E3" s="5">
        <f t="shared" ref="E3:E14" si="0">C3-D3</f>
        <v>6</v>
      </c>
      <c r="F3" s="5" t="s">
        <v>12</v>
      </c>
      <c r="G3" s="5">
        <v>0.3</v>
      </c>
      <c r="H3" s="5">
        <v>5.13</v>
      </c>
      <c r="I3" s="5">
        <v>2.41</v>
      </c>
      <c r="J3" s="5">
        <f t="shared" ref="J3:J14" si="1">H3-I3</f>
        <v>2.7199999999999998</v>
      </c>
      <c r="K3" s="5">
        <v>7</v>
      </c>
    </row>
    <row r="4" spans="1:11" ht="15.75" customHeight="1" x14ac:dyDescent="0.15">
      <c r="A4" s="41"/>
      <c r="B4" s="4">
        <v>2</v>
      </c>
      <c r="C4" s="5">
        <v>13</v>
      </c>
      <c r="D4" s="5">
        <v>7</v>
      </c>
      <c r="E4" s="5">
        <f t="shared" si="0"/>
        <v>6</v>
      </c>
      <c r="F4" s="5" t="s">
        <v>13</v>
      </c>
      <c r="G4" s="5">
        <v>0.3</v>
      </c>
      <c r="H4" s="5">
        <v>5</v>
      </c>
      <c r="I4" s="5">
        <v>2.14</v>
      </c>
      <c r="J4" s="5">
        <f t="shared" si="1"/>
        <v>2.86</v>
      </c>
      <c r="K4" s="5">
        <v>7</v>
      </c>
    </row>
    <row r="5" spans="1:11" ht="15.75" customHeight="1" x14ac:dyDescent="0.15">
      <c r="A5" s="41"/>
      <c r="B5" s="4">
        <v>3</v>
      </c>
      <c r="C5" s="5">
        <v>12.5</v>
      </c>
      <c r="D5" s="5">
        <v>5</v>
      </c>
      <c r="E5" s="5">
        <f t="shared" si="0"/>
        <v>7.5</v>
      </c>
      <c r="F5" s="5" t="s">
        <v>14</v>
      </c>
      <c r="G5" s="5">
        <v>0.3</v>
      </c>
      <c r="H5" s="5">
        <v>5.25</v>
      </c>
      <c r="I5" s="5">
        <v>1.58</v>
      </c>
      <c r="J5" s="5">
        <f t="shared" si="1"/>
        <v>3.67</v>
      </c>
      <c r="K5" s="5">
        <v>5</v>
      </c>
    </row>
    <row r="6" spans="1:11" ht="15.75" customHeight="1" x14ac:dyDescent="0.15">
      <c r="A6" s="41"/>
      <c r="B6" s="4">
        <v>4</v>
      </c>
      <c r="C6" s="5">
        <v>13</v>
      </c>
      <c r="D6" s="5">
        <v>7</v>
      </c>
      <c r="E6" s="5">
        <f t="shared" si="0"/>
        <v>6</v>
      </c>
      <c r="F6" s="5" t="s">
        <v>12</v>
      </c>
      <c r="G6" s="5">
        <v>0.3</v>
      </c>
      <c r="H6" s="5">
        <v>4.8499999999999996</v>
      </c>
      <c r="I6" s="5">
        <v>2.4500000000000002</v>
      </c>
      <c r="J6" s="5">
        <f t="shared" si="1"/>
        <v>2.3999999999999995</v>
      </c>
      <c r="K6" s="5">
        <v>7</v>
      </c>
    </row>
    <row r="7" spans="1:11" ht="15.75" customHeight="1" x14ac:dyDescent="0.15">
      <c r="A7" s="41"/>
      <c r="B7" s="4">
        <v>5</v>
      </c>
      <c r="C7" s="5">
        <v>12</v>
      </c>
      <c r="D7" s="5">
        <v>6</v>
      </c>
      <c r="E7" s="5">
        <f t="shared" si="0"/>
        <v>6</v>
      </c>
      <c r="F7" s="5" t="s">
        <v>15</v>
      </c>
      <c r="G7" s="5">
        <v>0.2</v>
      </c>
      <c r="H7" s="5">
        <v>5.36</v>
      </c>
      <c r="I7" s="5">
        <v>1.93</v>
      </c>
      <c r="J7" s="5">
        <f t="shared" si="1"/>
        <v>3.4300000000000006</v>
      </c>
      <c r="K7" s="5">
        <v>7</v>
      </c>
    </row>
    <row r="8" spans="1:11" ht="15.75" customHeight="1" x14ac:dyDescent="0.15">
      <c r="A8" s="41"/>
      <c r="B8" s="4">
        <v>6</v>
      </c>
      <c r="C8" s="5">
        <v>13</v>
      </c>
      <c r="D8" s="5">
        <v>7</v>
      </c>
      <c r="E8" s="5">
        <f t="shared" si="0"/>
        <v>6</v>
      </c>
      <c r="F8" s="5" t="s">
        <v>16</v>
      </c>
      <c r="G8" s="5">
        <v>0.3</v>
      </c>
      <c r="H8" s="5">
        <v>3.9</v>
      </c>
      <c r="I8" s="5">
        <v>1.74</v>
      </c>
      <c r="J8" s="5">
        <f t="shared" si="1"/>
        <v>2.16</v>
      </c>
      <c r="K8" s="5">
        <v>6</v>
      </c>
    </row>
    <row r="9" spans="1:11" ht="15.75" customHeight="1" x14ac:dyDescent="0.15">
      <c r="A9" s="41"/>
      <c r="B9" s="4">
        <v>7</v>
      </c>
      <c r="C9" s="5">
        <v>12</v>
      </c>
      <c r="D9" s="5">
        <v>6</v>
      </c>
      <c r="E9" s="5">
        <f t="shared" si="0"/>
        <v>6</v>
      </c>
      <c r="F9" s="5" t="s">
        <v>17</v>
      </c>
      <c r="G9" s="5">
        <v>0.3</v>
      </c>
      <c r="H9" s="5">
        <v>5.38</v>
      </c>
      <c r="I9" s="5">
        <v>2.4</v>
      </c>
      <c r="J9" s="5">
        <f t="shared" si="1"/>
        <v>2.98</v>
      </c>
      <c r="K9" s="5">
        <v>7</v>
      </c>
    </row>
    <row r="10" spans="1:11" ht="15.75" customHeight="1" x14ac:dyDescent="0.15">
      <c r="A10" s="41"/>
      <c r="B10" s="4">
        <v>8</v>
      </c>
      <c r="C10" s="5">
        <v>13</v>
      </c>
      <c r="D10" s="5">
        <v>7</v>
      </c>
      <c r="E10" s="5">
        <f t="shared" si="0"/>
        <v>6</v>
      </c>
      <c r="F10" s="5" t="s">
        <v>18</v>
      </c>
      <c r="G10" s="5">
        <v>0.2</v>
      </c>
      <c r="H10" s="5">
        <v>3.67</v>
      </c>
      <c r="I10" s="5">
        <v>1.88</v>
      </c>
      <c r="J10" s="5">
        <f t="shared" si="1"/>
        <v>1.79</v>
      </c>
      <c r="K10" s="5">
        <v>6</v>
      </c>
    </row>
    <row r="11" spans="1:11" ht="15.75" customHeight="1" x14ac:dyDescent="0.15">
      <c r="A11" s="41"/>
      <c r="B11" s="4">
        <v>9</v>
      </c>
      <c r="C11" s="5">
        <v>12</v>
      </c>
      <c r="D11" s="5">
        <v>6</v>
      </c>
      <c r="E11" s="5">
        <f t="shared" si="0"/>
        <v>6</v>
      </c>
      <c r="F11" s="5" t="s">
        <v>19</v>
      </c>
      <c r="G11" s="5">
        <v>0.3</v>
      </c>
      <c r="H11" s="5">
        <v>4.92</v>
      </c>
      <c r="I11" s="5">
        <v>1.89</v>
      </c>
      <c r="J11" s="5">
        <f t="shared" si="1"/>
        <v>3.0300000000000002</v>
      </c>
      <c r="K11" s="5">
        <v>8</v>
      </c>
    </row>
    <row r="12" spans="1:11" ht="15.75" customHeight="1" x14ac:dyDescent="0.15">
      <c r="A12" s="41"/>
      <c r="B12" s="4">
        <v>10</v>
      </c>
      <c r="C12" s="5">
        <v>14</v>
      </c>
      <c r="D12" s="5">
        <v>6</v>
      </c>
      <c r="E12" s="5">
        <f t="shared" si="0"/>
        <v>8</v>
      </c>
      <c r="F12" s="5" t="s">
        <v>20</v>
      </c>
      <c r="G12" s="5">
        <v>0.3</v>
      </c>
      <c r="H12" s="5">
        <v>4.53</v>
      </c>
      <c r="I12" s="5">
        <v>2.21</v>
      </c>
      <c r="J12" s="5">
        <f t="shared" si="1"/>
        <v>2.3200000000000003</v>
      </c>
      <c r="K12" s="5">
        <v>6</v>
      </c>
    </row>
    <row r="13" spans="1:11" ht="15.75" customHeight="1" x14ac:dyDescent="0.15">
      <c r="A13" s="41"/>
      <c r="B13" s="6">
        <v>11</v>
      </c>
      <c r="C13" s="6">
        <v>14</v>
      </c>
      <c r="D13" s="6">
        <v>8</v>
      </c>
      <c r="E13" s="5">
        <f t="shared" si="0"/>
        <v>6</v>
      </c>
      <c r="F13" s="6" t="s">
        <v>21</v>
      </c>
      <c r="G13" s="6">
        <v>0.3</v>
      </c>
      <c r="H13" s="6">
        <v>4.9800000000000004</v>
      </c>
      <c r="I13" s="6">
        <v>2.36</v>
      </c>
      <c r="J13" s="5">
        <f t="shared" si="1"/>
        <v>2.6200000000000006</v>
      </c>
      <c r="K13" s="6">
        <v>6</v>
      </c>
    </row>
    <row r="14" spans="1:11" ht="15.75" customHeight="1" x14ac:dyDescent="0.15">
      <c r="A14" s="42"/>
      <c r="B14" s="6">
        <v>12</v>
      </c>
      <c r="C14" s="6">
        <v>13</v>
      </c>
      <c r="D14" s="6">
        <v>6</v>
      </c>
      <c r="E14" s="5">
        <f t="shared" si="0"/>
        <v>7</v>
      </c>
      <c r="F14" s="6" t="s">
        <v>22</v>
      </c>
      <c r="G14" s="6">
        <v>0.3</v>
      </c>
      <c r="H14" s="6">
        <v>5.33</v>
      </c>
      <c r="I14" s="6">
        <v>2.13</v>
      </c>
      <c r="J14" s="5">
        <f t="shared" si="1"/>
        <v>3.2</v>
      </c>
      <c r="K14" s="6">
        <v>7</v>
      </c>
    </row>
  </sheetData>
  <mergeCells count="2">
    <mergeCell ref="B1:J1"/>
    <mergeCell ref="A3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1"/>
  <sheetViews>
    <sheetView workbookViewId="0">
      <pane xSplit="2" ySplit="2" topLeftCell="C115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sheetData>
    <row r="1" spans="1:12" ht="15.75" customHeight="1" x14ac:dyDescent="0.15">
      <c r="A1" s="7"/>
      <c r="B1" s="8"/>
      <c r="C1" s="43" t="s">
        <v>23</v>
      </c>
      <c r="D1" s="44"/>
      <c r="E1" s="44"/>
      <c r="F1" s="44"/>
      <c r="G1" s="9"/>
      <c r="H1" s="8"/>
      <c r="I1" s="45"/>
      <c r="J1" s="46"/>
      <c r="K1" s="46"/>
      <c r="L1" s="10"/>
    </row>
    <row r="2" spans="1:12" ht="15.75" customHeight="1" x14ac:dyDescent="0.15">
      <c r="A2" s="11" t="s">
        <v>1</v>
      </c>
      <c r="B2" s="11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11" t="s">
        <v>1</v>
      </c>
      <c r="H2" s="11" t="s">
        <v>24</v>
      </c>
      <c r="I2" s="6" t="s">
        <v>29</v>
      </c>
      <c r="J2" s="6" t="s">
        <v>30</v>
      </c>
      <c r="K2" s="6" t="s">
        <v>31</v>
      </c>
      <c r="L2" s="12"/>
    </row>
    <row r="3" spans="1:12" ht="15.75" customHeight="1" x14ac:dyDescent="0.15">
      <c r="A3" s="7" t="s">
        <v>32</v>
      </c>
      <c r="B3" s="7"/>
      <c r="G3" s="13">
        <v>45398</v>
      </c>
      <c r="H3" s="14">
        <v>0.41666666666666669</v>
      </c>
      <c r="I3" s="12">
        <v>57.77</v>
      </c>
      <c r="J3" s="12">
        <v>28.28</v>
      </c>
      <c r="K3" s="12">
        <v>485.7</v>
      </c>
      <c r="L3" s="12"/>
    </row>
    <row r="4" spans="1:12" ht="15.75" customHeight="1" x14ac:dyDescent="0.15">
      <c r="A4" s="7"/>
      <c r="B4" s="7"/>
      <c r="G4" s="13">
        <v>45398</v>
      </c>
      <c r="H4" s="14">
        <v>0.45833333333333331</v>
      </c>
      <c r="I4" s="12">
        <v>54</v>
      </c>
      <c r="J4" s="12">
        <v>28.57</v>
      </c>
      <c r="K4" s="12">
        <v>463.92</v>
      </c>
      <c r="L4" s="12"/>
    </row>
    <row r="5" spans="1:12" ht="15.75" customHeight="1" x14ac:dyDescent="0.15">
      <c r="A5" s="7"/>
      <c r="B5" s="7"/>
      <c r="G5" s="13">
        <v>45398</v>
      </c>
      <c r="H5" s="14">
        <v>0.5</v>
      </c>
      <c r="I5" s="12">
        <v>52.89</v>
      </c>
      <c r="J5" s="12">
        <v>27.68</v>
      </c>
      <c r="K5" s="12">
        <v>450.51</v>
      </c>
      <c r="L5" s="12"/>
    </row>
    <row r="6" spans="1:12" ht="15.75" customHeight="1" x14ac:dyDescent="0.15">
      <c r="A6" s="7"/>
      <c r="B6" s="7"/>
      <c r="G6" s="13">
        <v>45398</v>
      </c>
      <c r="H6" s="14">
        <v>0.54166666666666663</v>
      </c>
      <c r="I6" s="12">
        <v>52.01</v>
      </c>
      <c r="J6" s="12">
        <v>28.29</v>
      </c>
      <c r="K6" s="12">
        <v>444.88</v>
      </c>
      <c r="L6" s="12"/>
    </row>
    <row r="7" spans="1:12" x14ac:dyDescent="0.2">
      <c r="A7" s="7"/>
      <c r="B7" s="7"/>
      <c r="G7" s="15">
        <v>45398</v>
      </c>
      <c r="H7" s="16">
        <v>0.58333333333333337</v>
      </c>
      <c r="I7" s="17">
        <v>52.46</v>
      </c>
      <c r="J7" s="17">
        <v>27.32</v>
      </c>
      <c r="K7" s="17">
        <v>440.13</v>
      </c>
      <c r="L7" s="17"/>
    </row>
    <row r="8" spans="1:12" x14ac:dyDescent="0.2">
      <c r="A8" s="7"/>
      <c r="B8" s="7"/>
      <c r="G8" s="15">
        <v>45398</v>
      </c>
      <c r="H8" s="16">
        <v>0.625</v>
      </c>
      <c r="I8" s="17">
        <v>54.08</v>
      </c>
      <c r="J8" s="17">
        <v>25.53</v>
      </c>
      <c r="K8" s="17">
        <v>437.41</v>
      </c>
      <c r="L8" s="17"/>
    </row>
    <row r="9" spans="1:12" x14ac:dyDescent="0.2">
      <c r="A9" s="7"/>
      <c r="B9" s="7"/>
      <c r="G9" s="15">
        <v>45398</v>
      </c>
      <c r="H9" s="16">
        <v>0.66666666666666663</v>
      </c>
      <c r="I9" s="17">
        <v>55.91</v>
      </c>
      <c r="J9" s="17">
        <v>24.7</v>
      </c>
      <c r="K9" s="17">
        <v>437.12</v>
      </c>
      <c r="L9" s="17"/>
    </row>
    <row r="10" spans="1:12" x14ac:dyDescent="0.2">
      <c r="A10" s="7"/>
      <c r="B10" s="7"/>
      <c r="G10" s="15">
        <v>45398</v>
      </c>
      <c r="H10" s="16">
        <v>0.70833333333333337</v>
      </c>
      <c r="I10" s="17">
        <v>56.57</v>
      </c>
      <c r="J10" s="17">
        <v>27.09</v>
      </c>
      <c r="K10" s="17">
        <v>444.42</v>
      </c>
      <c r="L10" s="17"/>
    </row>
    <row r="11" spans="1:12" x14ac:dyDescent="0.2">
      <c r="A11" s="7"/>
      <c r="B11" s="7"/>
      <c r="G11" s="15">
        <v>45398</v>
      </c>
      <c r="H11" s="16">
        <v>0.75</v>
      </c>
      <c r="I11" s="17">
        <v>58.49</v>
      </c>
      <c r="J11" s="17">
        <v>24.01</v>
      </c>
      <c r="K11" s="17">
        <v>441.16</v>
      </c>
      <c r="L11" s="17"/>
    </row>
    <row r="12" spans="1:12" x14ac:dyDescent="0.2">
      <c r="A12" s="7"/>
      <c r="B12" s="7"/>
      <c r="G12" s="15">
        <v>45398</v>
      </c>
      <c r="H12" s="16">
        <v>0.79166666666666663</v>
      </c>
      <c r="I12" s="17">
        <v>60.76</v>
      </c>
      <c r="J12" s="17">
        <v>21.97</v>
      </c>
      <c r="K12" s="17">
        <v>448.68</v>
      </c>
      <c r="L12" s="17"/>
    </row>
    <row r="13" spans="1:12" x14ac:dyDescent="0.2">
      <c r="A13" s="7"/>
      <c r="B13" s="7"/>
      <c r="G13" s="15">
        <v>45398</v>
      </c>
      <c r="H13" s="16">
        <v>0.83333333333333337</v>
      </c>
      <c r="I13" s="17">
        <v>62.29</v>
      </c>
      <c r="J13" s="17">
        <v>20.97</v>
      </c>
      <c r="K13" s="17">
        <v>457.94</v>
      </c>
      <c r="L13" s="17"/>
    </row>
    <row r="14" spans="1:12" x14ac:dyDescent="0.2">
      <c r="A14" s="7"/>
      <c r="B14" s="7"/>
      <c r="G14" s="15">
        <v>45398</v>
      </c>
      <c r="H14" s="16">
        <v>0.875</v>
      </c>
      <c r="I14" s="17">
        <v>63.2</v>
      </c>
      <c r="J14" s="17">
        <v>20.12</v>
      </c>
      <c r="K14" s="17">
        <v>466.19</v>
      </c>
      <c r="L14" s="17"/>
    </row>
    <row r="15" spans="1:12" x14ac:dyDescent="0.2">
      <c r="A15" s="7"/>
      <c r="B15" s="7"/>
      <c r="G15" s="15">
        <v>45398</v>
      </c>
      <c r="H15" s="16">
        <v>0.91666666666666663</v>
      </c>
      <c r="I15" s="17">
        <v>64.040000000000006</v>
      </c>
      <c r="J15" s="17">
        <v>19.52</v>
      </c>
      <c r="K15" s="17">
        <v>473.83</v>
      </c>
      <c r="L15" s="17"/>
    </row>
    <row r="16" spans="1:12" x14ac:dyDescent="0.2">
      <c r="A16" s="7"/>
      <c r="B16" s="7"/>
      <c r="G16" s="15">
        <v>45398</v>
      </c>
      <c r="H16" s="16">
        <v>0.95833333333333337</v>
      </c>
      <c r="I16" s="17">
        <v>64.69</v>
      </c>
      <c r="J16" s="17">
        <v>19.07</v>
      </c>
      <c r="K16" s="17">
        <v>478.62</v>
      </c>
      <c r="L16" s="17"/>
    </row>
    <row r="17" spans="1:12" x14ac:dyDescent="0.2">
      <c r="A17" s="7"/>
      <c r="B17" s="7"/>
      <c r="G17" s="15">
        <v>45399</v>
      </c>
      <c r="H17" s="16">
        <v>0</v>
      </c>
      <c r="I17" s="17">
        <v>65.81</v>
      </c>
      <c r="J17" s="17">
        <v>18.5</v>
      </c>
      <c r="K17" s="17">
        <v>489.6</v>
      </c>
      <c r="L17" s="17"/>
    </row>
    <row r="18" spans="1:12" x14ac:dyDescent="0.2">
      <c r="A18" s="7"/>
      <c r="B18" s="7"/>
      <c r="G18" s="15">
        <v>45399</v>
      </c>
      <c r="H18" s="16">
        <v>4.1666666666666664E-2</v>
      </c>
      <c r="I18" s="17">
        <v>65.680000000000007</v>
      </c>
      <c r="J18" s="17">
        <v>18.010000000000002</v>
      </c>
      <c r="K18" s="17">
        <v>491.24</v>
      </c>
      <c r="L18" s="17"/>
    </row>
    <row r="19" spans="1:12" x14ac:dyDescent="0.2">
      <c r="A19" s="7"/>
      <c r="B19" s="7"/>
      <c r="G19" s="15">
        <v>45399</v>
      </c>
      <c r="H19" s="16">
        <v>8.3333333333333329E-2</v>
      </c>
      <c r="I19" s="17">
        <v>65.53</v>
      </c>
      <c r="J19" s="17">
        <v>17.71</v>
      </c>
      <c r="K19" s="17">
        <v>494.51</v>
      </c>
      <c r="L19" s="17"/>
    </row>
    <row r="20" spans="1:12" x14ac:dyDescent="0.2">
      <c r="A20" s="7"/>
      <c r="B20" s="7"/>
      <c r="G20" s="15">
        <v>45399</v>
      </c>
      <c r="H20" s="16">
        <v>0.125</v>
      </c>
      <c r="I20" s="17">
        <v>66.88</v>
      </c>
      <c r="J20" s="17">
        <v>17.829999999999998</v>
      </c>
      <c r="K20" s="17">
        <v>502.53</v>
      </c>
      <c r="L20" s="17"/>
    </row>
    <row r="21" spans="1:12" x14ac:dyDescent="0.2">
      <c r="A21" s="7"/>
      <c r="B21" s="7"/>
      <c r="G21" s="15">
        <v>45399</v>
      </c>
      <c r="H21" s="16">
        <v>0.16666666666666666</v>
      </c>
      <c r="I21" s="17">
        <v>67.2</v>
      </c>
      <c r="J21" s="17">
        <v>17.61</v>
      </c>
      <c r="K21" s="17">
        <v>495.78</v>
      </c>
      <c r="L21" s="17"/>
    </row>
    <row r="22" spans="1:12" x14ac:dyDescent="0.2">
      <c r="A22" s="7"/>
      <c r="B22" s="7"/>
      <c r="G22" s="15">
        <v>45399</v>
      </c>
      <c r="H22" s="16">
        <v>0.20833333333333334</v>
      </c>
      <c r="I22" s="17">
        <v>67.37</v>
      </c>
      <c r="J22" s="17">
        <v>17.440000000000001</v>
      </c>
      <c r="K22" s="17">
        <v>491</v>
      </c>
      <c r="L22" s="17"/>
    </row>
    <row r="23" spans="1:12" x14ac:dyDescent="0.2">
      <c r="A23" s="7"/>
      <c r="B23" s="7"/>
      <c r="G23" s="15">
        <v>45399</v>
      </c>
      <c r="H23" s="16">
        <v>0.25</v>
      </c>
      <c r="I23" s="17">
        <v>65.31</v>
      </c>
      <c r="J23" s="17">
        <v>24.03</v>
      </c>
      <c r="K23" s="17">
        <v>477.26</v>
      </c>
      <c r="L23" s="17"/>
    </row>
    <row r="24" spans="1:12" x14ac:dyDescent="0.2">
      <c r="A24" s="7"/>
      <c r="B24" s="7"/>
      <c r="G24" s="15">
        <v>45399</v>
      </c>
      <c r="H24" s="16">
        <v>0.29166666666666669</v>
      </c>
      <c r="I24" s="17">
        <v>60.39</v>
      </c>
      <c r="J24" s="17">
        <v>25.76</v>
      </c>
      <c r="K24" s="17">
        <v>462.7</v>
      </c>
      <c r="L24" s="17"/>
    </row>
    <row r="25" spans="1:12" x14ac:dyDescent="0.2">
      <c r="A25" s="7"/>
      <c r="B25" s="7"/>
      <c r="G25" s="15">
        <v>45399</v>
      </c>
      <c r="H25" s="16">
        <v>0.33333333333333331</v>
      </c>
      <c r="I25" s="17">
        <v>56.09</v>
      </c>
      <c r="J25" s="17">
        <v>27.92</v>
      </c>
      <c r="K25" s="17">
        <v>459.23</v>
      </c>
      <c r="L25" s="17"/>
    </row>
    <row r="26" spans="1:12" x14ac:dyDescent="0.2">
      <c r="A26" s="7"/>
      <c r="B26" s="7"/>
      <c r="G26" s="15">
        <v>45399</v>
      </c>
      <c r="H26" s="16">
        <v>0.375</v>
      </c>
      <c r="I26" s="17">
        <v>51.56</v>
      </c>
      <c r="J26" s="17">
        <v>30.01</v>
      </c>
      <c r="K26" s="17">
        <v>454</v>
      </c>
      <c r="L26" s="17"/>
    </row>
    <row r="27" spans="1:12" x14ac:dyDescent="0.2">
      <c r="A27" s="7"/>
      <c r="B27" s="7"/>
      <c r="G27" s="15">
        <v>45399</v>
      </c>
      <c r="H27" s="16">
        <v>0.41666666666666669</v>
      </c>
      <c r="I27" s="17">
        <v>48.34</v>
      </c>
      <c r="J27" s="17">
        <v>31.44</v>
      </c>
      <c r="K27" s="17">
        <v>452.68</v>
      </c>
      <c r="L27" s="17"/>
    </row>
    <row r="28" spans="1:12" x14ac:dyDescent="0.2">
      <c r="A28" s="7"/>
      <c r="B28" s="7"/>
      <c r="G28" s="15">
        <v>45399</v>
      </c>
      <c r="H28" s="16">
        <v>0.45833333333333331</v>
      </c>
      <c r="I28" s="17">
        <v>46.43</v>
      </c>
      <c r="J28" s="17">
        <v>31.75</v>
      </c>
      <c r="K28" s="17">
        <v>448.56</v>
      </c>
      <c r="L28" s="17"/>
    </row>
    <row r="29" spans="1:12" x14ac:dyDescent="0.2">
      <c r="A29" s="7"/>
      <c r="B29" s="7"/>
      <c r="G29" s="15">
        <v>45399</v>
      </c>
      <c r="H29" s="16">
        <v>0.5</v>
      </c>
      <c r="I29" s="17">
        <v>45.84</v>
      </c>
      <c r="J29" s="17">
        <v>32.1</v>
      </c>
      <c r="K29" s="17">
        <v>443.64</v>
      </c>
      <c r="L29" s="17"/>
    </row>
    <row r="30" spans="1:12" x14ac:dyDescent="0.2">
      <c r="A30" s="7"/>
      <c r="B30" s="7"/>
      <c r="G30" s="15">
        <v>45399</v>
      </c>
      <c r="H30" s="16">
        <v>0.54166666666666663</v>
      </c>
      <c r="I30" s="17">
        <v>45.44</v>
      </c>
      <c r="J30" s="17">
        <v>30.76</v>
      </c>
      <c r="K30" s="17">
        <v>432.17</v>
      </c>
      <c r="L30" s="17"/>
    </row>
    <row r="31" spans="1:12" x14ac:dyDescent="0.2">
      <c r="A31" s="7"/>
      <c r="B31" s="7"/>
      <c r="G31" s="15">
        <v>45399</v>
      </c>
      <c r="H31" s="16">
        <v>0.58333333333333337</v>
      </c>
      <c r="I31" s="17">
        <v>46.56</v>
      </c>
      <c r="J31" s="17">
        <v>29.2</v>
      </c>
      <c r="K31" s="17">
        <v>413.96</v>
      </c>
      <c r="L31" s="17"/>
    </row>
    <row r="32" spans="1:12" x14ac:dyDescent="0.2">
      <c r="A32" s="7"/>
      <c r="B32" s="7"/>
      <c r="G32" s="15">
        <v>45399</v>
      </c>
      <c r="H32" s="16">
        <v>0.625</v>
      </c>
      <c r="I32" s="17">
        <v>48.37</v>
      </c>
      <c r="J32" s="17">
        <v>27.18</v>
      </c>
      <c r="K32" s="17">
        <v>409.98</v>
      </c>
      <c r="L32" s="17"/>
    </row>
    <row r="33" spans="1:12" x14ac:dyDescent="0.2">
      <c r="A33" s="7"/>
      <c r="B33" s="7"/>
      <c r="G33" s="15">
        <v>45399</v>
      </c>
      <c r="H33" s="16">
        <v>0.66666666666666663</v>
      </c>
      <c r="I33" s="17">
        <v>50.53</v>
      </c>
      <c r="J33" s="17">
        <v>25.31</v>
      </c>
      <c r="K33" s="17">
        <v>412.46</v>
      </c>
      <c r="L33" s="17"/>
    </row>
    <row r="34" spans="1:12" x14ac:dyDescent="0.2">
      <c r="A34" s="7"/>
      <c r="B34" s="7"/>
      <c r="G34" s="15">
        <v>45399</v>
      </c>
      <c r="H34" s="16">
        <v>0.70833333333333337</v>
      </c>
      <c r="I34" s="17">
        <v>51.32</v>
      </c>
      <c r="J34" s="17">
        <v>27.28</v>
      </c>
      <c r="K34" s="17">
        <v>416.25</v>
      </c>
      <c r="L34" s="17"/>
    </row>
    <row r="35" spans="1:12" x14ac:dyDescent="0.2">
      <c r="A35" s="7"/>
      <c r="B35" s="7"/>
      <c r="G35" s="15">
        <v>45399</v>
      </c>
      <c r="H35" s="16">
        <v>0.75</v>
      </c>
      <c r="I35" s="17">
        <v>52.8</v>
      </c>
      <c r="J35" s="17">
        <v>21.49</v>
      </c>
      <c r="K35" s="17">
        <v>427.18</v>
      </c>
      <c r="L35" s="17"/>
    </row>
    <row r="36" spans="1:12" x14ac:dyDescent="0.2">
      <c r="A36" s="7"/>
      <c r="B36" s="7"/>
      <c r="G36" s="15">
        <v>45399</v>
      </c>
      <c r="H36" s="16">
        <v>0.79166666666666663</v>
      </c>
      <c r="I36" s="17">
        <v>55.02</v>
      </c>
      <c r="J36" s="17">
        <v>21.08</v>
      </c>
      <c r="K36" s="17">
        <v>454</v>
      </c>
      <c r="L36" s="17"/>
    </row>
    <row r="37" spans="1:12" x14ac:dyDescent="0.2">
      <c r="A37" s="7"/>
      <c r="B37" s="7"/>
      <c r="G37" s="15">
        <v>45399</v>
      </c>
      <c r="H37" s="16">
        <v>0.83333333333333337</v>
      </c>
      <c r="I37" s="17">
        <v>56.21</v>
      </c>
      <c r="J37" s="17">
        <v>21.57</v>
      </c>
      <c r="K37" s="17">
        <v>472.16</v>
      </c>
      <c r="L37" s="17"/>
    </row>
    <row r="38" spans="1:12" x14ac:dyDescent="0.2">
      <c r="A38" s="7"/>
      <c r="B38" s="7"/>
      <c r="G38" s="15">
        <v>45399</v>
      </c>
      <c r="H38" s="16">
        <v>0.875</v>
      </c>
      <c r="I38" s="17">
        <v>57.13</v>
      </c>
      <c r="J38" s="17">
        <v>21.36</v>
      </c>
      <c r="K38" s="17">
        <v>490.03</v>
      </c>
      <c r="L38" s="17"/>
    </row>
    <row r="39" spans="1:12" x14ac:dyDescent="0.2">
      <c r="A39" s="7"/>
      <c r="B39" s="7"/>
      <c r="G39" s="15">
        <v>45399</v>
      </c>
      <c r="H39" s="16">
        <v>0.91666666666666663</v>
      </c>
      <c r="I39" s="17">
        <v>56.93</v>
      </c>
      <c r="J39" s="17">
        <v>22.79</v>
      </c>
      <c r="K39" s="17">
        <v>496.25</v>
      </c>
      <c r="L39" s="17"/>
    </row>
    <row r="40" spans="1:12" x14ac:dyDescent="0.2">
      <c r="A40" s="7"/>
      <c r="B40" s="7"/>
      <c r="G40" s="15">
        <v>45399</v>
      </c>
      <c r="H40" s="16">
        <v>0.95833333333333337</v>
      </c>
      <c r="I40" s="17">
        <v>56.39</v>
      </c>
      <c r="J40" s="17">
        <v>22.85</v>
      </c>
      <c r="K40" s="17">
        <v>478.91</v>
      </c>
      <c r="L40" s="17"/>
    </row>
    <row r="41" spans="1:12" x14ac:dyDescent="0.2">
      <c r="A41" s="7"/>
      <c r="B41" s="7"/>
      <c r="G41" s="15">
        <v>45400</v>
      </c>
      <c r="H41" s="16">
        <v>0</v>
      </c>
      <c r="I41" s="17">
        <v>56.9</v>
      </c>
      <c r="J41" s="17">
        <v>22.04</v>
      </c>
      <c r="K41" s="17">
        <v>470.62</v>
      </c>
      <c r="L41" s="17"/>
    </row>
    <row r="42" spans="1:12" x14ac:dyDescent="0.2">
      <c r="A42" s="7"/>
      <c r="B42" s="7"/>
      <c r="G42" s="15">
        <v>45400</v>
      </c>
      <c r="H42" s="16">
        <v>4.1666666666666664E-2</v>
      </c>
      <c r="I42" s="17">
        <v>57.6</v>
      </c>
      <c r="J42" s="17">
        <v>21.82</v>
      </c>
      <c r="K42" s="17">
        <v>464.76</v>
      </c>
      <c r="L42" s="17"/>
    </row>
    <row r="43" spans="1:12" x14ac:dyDescent="0.2">
      <c r="A43" s="7"/>
      <c r="B43" s="7"/>
      <c r="G43" s="15">
        <v>45400</v>
      </c>
      <c r="H43" s="16">
        <v>8.3333333333333329E-2</v>
      </c>
      <c r="I43" s="17">
        <v>58.19</v>
      </c>
      <c r="J43" s="17">
        <v>21.84</v>
      </c>
      <c r="K43" s="17">
        <v>460.06</v>
      </c>
      <c r="L43" s="17"/>
    </row>
    <row r="44" spans="1:12" x14ac:dyDescent="0.2">
      <c r="A44" s="7"/>
      <c r="B44" s="7"/>
      <c r="G44" s="15">
        <v>45400</v>
      </c>
      <c r="H44" s="16">
        <v>0.125</v>
      </c>
      <c r="I44" s="17">
        <v>59.36</v>
      </c>
      <c r="J44" s="17">
        <v>21.63</v>
      </c>
      <c r="K44" s="17">
        <v>462.38</v>
      </c>
      <c r="L44" s="17"/>
    </row>
    <row r="45" spans="1:12" x14ac:dyDescent="0.2">
      <c r="A45" s="7"/>
      <c r="B45" s="7"/>
      <c r="G45" s="15">
        <v>45400</v>
      </c>
      <c r="H45" s="16">
        <v>0.16666666666666666</v>
      </c>
      <c r="I45" s="17">
        <v>60.29</v>
      </c>
      <c r="J45" s="17">
        <v>21.09</v>
      </c>
      <c r="K45" s="17">
        <v>467.13</v>
      </c>
      <c r="L45" s="17"/>
    </row>
    <row r="46" spans="1:12" x14ac:dyDescent="0.2">
      <c r="A46" s="7"/>
      <c r="B46" s="7"/>
      <c r="G46" s="15">
        <v>45400</v>
      </c>
      <c r="H46" s="16">
        <v>0.20833333333333334</v>
      </c>
      <c r="I46" s="17">
        <v>60.73</v>
      </c>
      <c r="J46" s="17">
        <v>20.71</v>
      </c>
      <c r="K46" s="17">
        <v>468.73</v>
      </c>
      <c r="L46" s="17"/>
    </row>
    <row r="47" spans="1:12" x14ac:dyDescent="0.2">
      <c r="A47" s="7"/>
      <c r="B47" s="7"/>
      <c r="G47" s="15">
        <v>45400</v>
      </c>
      <c r="H47" s="16">
        <v>0.25</v>
      </c>
      <c r="I47" s="17">
        <v>60.84</v>
      </c>
      <c r="J47" s="17">
        <v>23.06</v>
      </c>
      <c r="K47" s="17">
        <v>468.32</v>
      </c>
      <c r="L47" s="17"/>
    </row>
    <row r="48" spans="1:12" x14ac:dyDescent="0.2">
      <c r="A48" s="7"/>
      <c r="B48" s="7"/>
      <c r="G48" s="15">
        <v>45400</v>
      </c>
      <c r="H48" s="16">
        <v>0.29166666666666669</v>
      </c>
      <c r="I48" s="17">
        <v>58.39</v>
      </c>
      <c r="J48" s="17">
        <v>25.55</v>
      </c>
      <c r="K48" s="17">
        <v>466.18</v>
      </c>
      <c r="L48" s="17"/>
    </row>
    <row r="49" spans="1:12" x14ac:dyDescent="0.2">
      <c r="A49" s="7"/>
      <c r="B49" s="7"/>
      <c r="G49" s="15">
        <v>45400</v>
      </c>
      <c r="H49" s="16">
        <v>0.33333333333333331</v>
      </c>
      <c r="I49" s="17">
        <v>55.89</v>
      </c>
      <c r="J49" s="17">
        <v>24.39</v>
      </c>
      <c r="K49" s="17">
        <v>454.38</v>
      </c>
      <c r="L49" s="17"/>
    </row>
    <row r="50" spans="1:12" x14ac:dyDescent="0.2">
      <c r="A50" s="7"/>
      <c r="B50" s="7"/>
      <c r="G50" s="15">
        <v>45400</v>
      </c>
      <c r="H50" s="16">
        <v>0.375</v>
      </c>
      <c r="I50" s="17">
        <v>53.1</v>
      </c>
      <c r="J50" s="17">
        <v>26.27</v>
      </c>
      <c r="K50" s="17">
        <v>451.61</v>
      </c>
      <c r="L50" s="17"/>
    </row>
    <row r="51" spans="1:12" ht="16" x14ac:dyDescent="0.2">
      <c r="A51" s="7"/>
      <c r="B51" s="7"/>
      <c r="G51" s="15">
        <v>45400</v>
      </c>
      <c r="H51" s="16">
        <v>0.41666666666666669</v>
      </c>
      <c r="I51" s="17">
        <v>50.42</v>
      </c>
      <c r="J51" s="17">
        <v>27.31</v>
      </c>
      <c r="K51" s="17">
        <v>443.69</v>
      </c>
      <c r="L51" s="17"/>
    </row>
    <row r="52" spans="1:12" ht="16" x14ac:dyDescent="0.2">
      <c r="A52" s="7"/>
      <c r="B52" s="7"/>
      <c r="G52" s="15">
        <v>45400</v>
      </c>
      <c r="H52" s="16">
        <v>0.45833333333333331</v>
      </c>
      <c r="I52" s="17">
        <v>48.7</v>
      </c>
      <c r="J52" s="17">
        <v>27.79</v>
      </c>
      <c r="K52" s="17">
        <v>436.99</v>
      </c>
      <c r="L52" s="17"/>
    </row>
    <row r="53" spans="1:12" ht="16" x14ac:dyDescent="0.2">
      <c r="A53" s="7"/>
      <c r="B53" s="7"/>
      <c r="G53" s="15">
        <v>45400</v>
      </c>
      <c r="H53" s="16">
        <v>0.5</v>
      </c>
      <c r="I53" s="17">
        <v>47.96</v>
      </c>
      <c r="J53" s="17">
        <v>28.24</v>
      </c>
      <c r="K53" s="17">
        <v>432.16</v>
      </c>
      <c r="L53" s="17"/>
    </row>
    <row r="54" spans="1:12" ht="16" x14ac:dyDescent="0.2">
      <c r="A54" s="7"/>
      <c r="B54" s="7"/>
      <c r="G54" s="15">
        <v>45400</v>
      </c>
      <c r="H54" s="16">
        <v>0.54166666666666663</v>
      </c>
      <c r="I54" s="17">
        <v>48.22</v>
      </c>
      <c r="J54" s="17">
        <v>28.26</v>
      </c>
      <c r="K54" s="17">
        <v>427.06</v>
      </c>
      <c r="L54" s="17"/>
    </row>
    <row r="55" spans="1:12" ht="16" x14ac:dyDescent="0.2">
      <c r="A55" s="7"/>
      <c r="B55" s="7"/>
      <c r="G55" s="15">
        <v>45400</v>
      </c>
      <c r="H55" s="16">
        <v>0.58333333333333337</v>
      </c>
      <c r="I55" s="17">
        <v>49.91</v>
      </c>
      <c r="J55" s="17">
        <v>26.83</v>
      </c>
      <c r="K55" s="17">
        <v>421.75</v>
      </c>
      <c r="L55" s="17"/>
    </row>
    <row r="56" spans="1:12" ht="16" x14ac:dyDescent="0.2">
      <c r="A56" s="7"/>
      <c r="B56" s="7"/>
      <c r="G56" s="15">
        <v>45400</v>
      </c>
      <c r="H56" s="16">
        <v>0.625</v>
      </c>
      <c r="I56" s="17">
        <v>52.04</v>
      </c>
      <c r="J56" s="17">
        <v>25.2</v>
      </c>
      <c r="K56" s="17">
        <v>422.73</v>
      </c>
      <c r="L56" s="17"/>
    </row>
    <row r="57" spans="1:12" ht="16" x14ac:dyDescent="0.2">
      <c r="A57" s="7"/>
      <c r="B57" s="7"/>
      <c r="G57" s="15">
        <v>45400</v>
      </c>
      <c r="H57" s="16">
        <v>0.66666666666666663</v>
      </c>
      <c r="I57" s="17">
        <v>53.85</v>
      </c>
      <c r="J57" s="17">
        <v>24.86</v>
      </c>
      <c r="K57" s="17">
        <v>423.44</v>
      </c>
      <c r="L57" s="17"/>
    </row>
    <row r="58" spans="1:12" ht="16" x14ac:dyDescent="0.2">
      <c r="A58" s="7"/>
      <c r="B58" s="7"/>
      <c r="G58" s="15">
        <v>45400</v>
      </c>
      <c r="H58" s="16">
        <v>0.70833333333333337</v>
      </c>
      <c r="I58" s="17">
        <v>54.87</v>
      </c>
      <c r="J58" s="17">
        <v>26.28</v>
      </c>
      <c r="K58" s="17">
        <v>429.07</v>
      </c>
      <c r="L58" s="17"/>
    </row>
    <row r="59" spans="1:12" ht="16" x14ac:dyDescent="0.2">
      <c r="A59" s="7"/>
      <c r="B59" s="7"/>
      <c r="G59" s="15">
        <v>45400</v>
      </c>
      <c r="H59" s="16">
        <v>0.75</v>
      </c>
      <c r="I59" s="17">
        <v>56.53</v>
      </c>
      <c r="J59" s="17">
        <v>24.38</v>
      </c>
      <c r="K59" s="17">
        <v>430.62</v>
      </c>
      <c r="L59" s="17"/>
    </row>
    <row r="60" spans="1:12" ht="16" x14ac:dyDescent="0.2">
      <c r="A60" s="7"/>
      <c r="B60" s="7"/>
      <c r="G60" s="15">
        <v>45400</v>
      </c>
      <c r="H60" s="16">
        <v>0.79166666666666663</v>
      </c>
      <c r="I60" s="17">
        <v>58.71</v>
      </c>
      <c r="J60" s="17">
        <v>22.78</v>
      </c>
      <c r="K60" s="17">
        <v>436.69</v>
      </c>
      <c r="L60" s="17"/>
    </row>
    <row r="61" spans="1:12" ht="16" x14ac:dyDescent="0.2">
      <c r="A61" s="7"/>
      <c r="B61" s="7"/>
      <c r="G61" s="15">
        <v>45400</v>
      </c>
      <c r="H61" s="16">
        <v>0.83333333333333337</v>
      </c>
      <c r="I61" s="17">
        <v>60.01</v>
      </c>
      <c r="J61" s="17">
        <v>21.74</v>
      </c>
      <c r="K61" s="17">
        <v>449.04</v>
      </c>
      <c r="L61" s="17"/>
    </row>
    <row r="62" spans="1:12" ht="16" x14ac:dyDescent="0.2">
      <c r="A62" s="7"/>
      <c r="B62" s="7"/>
      <c r="G62" s="15">
        <v>45400</v>
      </c>
      <c r="H62" s="16">
        <v>0.875</v>
      </c>
      <c r="I62" s="17">
        <v>61.26</v>
      </c>
      <c r="J62" s="17">
        <v>21.04</v>
      </c>
      <c r="K62" s="17">
        <v>454.82</v>
      </c>
      <c r="L62" s="17"/>
    </row>
    <row r="63" spans="1:12" ht="16" x14ac:dyDescent="0.2">
      <c r="A63" s="7"/>
      <c r="B63" s="7"/>
      <c r="G63" s="15">
        <v>45400</v>
      </c>
      <c r="H63" s="16">
        <v>0.91666666666666663</v>
      </c>
      <c r="I63" s="17">
        <v>62.14</v>
      </c>
      <c r="J63" s="17">
        <v>20.25</v>
      </c>
      <c r="K63" s="17">
        <v>459.45</v>
      </c>
      <c r="L63" s="17"/>
    </row>
    <row r="64" spans="1:12" ht="16" x14ac:dyDescent="0.2">
      <c r="A64" s="7"/>
      <c r="B64" s="7"/>
      <c r="G64" s="15">
        <v>45400</v>
      </c>
      <c r="H64" s="16">
        <v>0.95833333333333337</v>
      </c>
      <c r="I64" s="17">
        <v>62.96</v>
      </c>
      <c r="J64" s="17">
        <v>19.62</v>
      </c>
      <c r="K64" s="17">
        <v>461.91</v>
      </c>
      <c r="L64" s="17"/>
    </row>
    <row r="65" spans="1:12" ht="16" x14ac:dyDescent="0.2">
      <c r="A65" s="7"/>
      <c r="B65" s="7"/>
      <c r="G65" s="15">
        <v>45401</v>
      </c>
      <c r="H65" s="16">
        <v>0</v>
      </c>
      <c r="I65" s="17">
        <v>63.55</v>
      </c>
      <c r="J65" s="17">
        <v>19.079999999999998</v>
      </c>
      <c r="K65" s="17">
        <v>465.63</v>
      </c>
      <c r="L65" s="17"/>
    </row>
    <row r="66" spans="1:12" ht="16" x14ac:dyDescent="0.2">
      <c r="A66" s="7"/>
      <c r="B66" s="7"/>
      <c r="G66" s="15">
        <v>45401</v>
      </c>
      <c r="H66" s="16">
        <v>4.1666666666666664E-2</v>
      </c>
      <c r="I66" s="17">
        <v>64.150000000000006</v>
      </c>
      <c r="J66" s="17">
        <v>18.57</v>
      </c>
      <c r="K66" s="17">
        <v>468.12</v>
      </c>
      <c r="L66" s="17"/>
    </row>
    <row r="67" spans="1:12" ht="16" x14ac:dyDescent="0.2">
      <c r="A67" s="7"/>
      <c r="B67" s="7"/>
      <c r="G67" s="15">
        <v>45401</v>
      </c>
      <c r="H67" s="16">
        <v>8.3333333333333329E-2</v>
      </c>
      <c r="I67" s="17">
        <v>64.77</v>
      </c>
      <c r="J67" s="17">
        <v>17.98</v>
      </c>
      <c r="K67" s="17">
        <v>472.33</v>
      </c>
      <c r="L67" s="17"/>
    </row>
    <row r="68" spans="1:12" ht="16" x14ac:dyDescent="0.2">
      <c r="A68" s="7"/>
      <c r="B68" s="7"/>
      <c r="G68" s="15">
        <v>45401</v>
      </c>
      <c r="H68" s="16">
        <v>0.125</v>
      </c>
      <c r="I68" s="17">
        <v>65.09</v>
      </c>
      <c r="J68" s="17">
        <v>17.57</v>
      </c>
      <c r="K68" s="17">
        <v>478.01</v>
      </c>
      <c r="L68" s="17"/>
    </row>
    <row r="69" spans="1:12" ht="16" x14ac:dyDescent="0.2">
      <c r="A69" s="7"/>
      <c r="B69" s="7"/>
      <c r="G69" s="15">
        <v>45401</v>
      </c>
      <c r="H69" s="16">
        <v>0.16666666666666666</v>
      </c>
      <c r="I69" s="17">
        <v>65.319999999999993</v>
      </c>
      <c r="J69" s="17">
        <v>17.55</v>
      </c>
      <c r="K69" s="17">
        <v>482.97</v>
      </c>
      <c r="L69" s="17"/>
    </row>
    <row r="70" spans="1:12" ht="16" x14ac:dyDescent="0.2">
      <c r="A70" s="7"/>
      <c r="B70" s="7"/>
      <c r="G70" s="15">
        <v>45401</v>
      </c>
      <c r="H70" s="16">
        <v>0.20833333333333334</v>
      </c>
      <c r="I70" s="17">
        <v>64.94</v>
      </c>
      <c r="J70" s="17">
        <v>17.920000000000002</v>
      </c>
      <c r="K70" s="17">
        <v>487.75</v>
      </c>
      <c r="L70" s="17"/>
    </row>
    <row r="71" spans="1:12" ht="16" x14ac:dyDescent="0.2">
      <c r="A71" s="7"/>
      <c r="B71" s="7"/>
      <c r="G71" s="15">
        <v>45401</v>
      </c>
      <c r="H71" s="16">
        <v>0.25</v>
      </c>
      <c r="I71" s="17">
        <v>63.55</v>
      </c>
      <c r="J71" s="17">
        <v>23.57</v>
      </c>
      <c r="K71" s="17">
        <v>477.37</v>
      </c>
      <c r="L71" s="17"/>
    </row>
    <row r="72" spans="1:12" ht="16" x14ac:dyDescent="0.2">
      <c r="A72" s="7"/>
      <c r="B72" s="7"/>
      <c r="G72" s="15">
        <v>45401</v>
      </c>
      <c r="H72" s="16">
        <v>0.29166666666666669</v>
      </c>
      <c r="I72" s="17">
        <v>60.5</v>
      </c>
      <c r="J72" s="17">
        <v>24.4</v>
      </c>
      <c r="K72" s="17">
        <v>464.75</v>
      </c>
      <c r="L72" s="17"/>
    </row>
    <row r="73" spans="1:12" ht="16" x14ac:dyDescent="0.2">
      <c r="A73" s="7"/>
      <c r="B73" s="7"/>
      <c r="G73" s="15">
        <v>45401</v>
      </c>
      <c r="H73" s="16">
        <v>0.33333333333333331</v>
      </c>
      <c r="I73" s="17">
        <v>58.08</v>
      </c>
      <c r="J73" s="17">
        <v>24.67</v>
      </c>
      <c r="K73" s="17">
        <v>463.99</v>
      </c>
      <c r="L73" s="17"/>
    </row>
    <row r="74" spans="1:12" ht="16" x14ac:dyDescent="0.2">
      <c r="A74" s="7"/>
      <c r="B74" s="7"/>
      <c r="G74" s="15">
        <v>45401</v>
      </c>
      <c r="H74" s="16">
        <v>0.375</v>
      </c>
      <c r="I74" s="17">
        <v>55.11</v>
      </c>
      <c r="J74" s="17">
        <v>25.56</v>
      </c>
      <c r="K74" s="17">
        <v>458.39</v>
      </c>
      <c r="L74" s="17"/>
    </row>
    <row r="75" spans="1:12" ht="16" x14ac:dyDescent="0.2">
      <c r="A75" s="7"/>
      <c r="B75" s="7"/>
      <c r="G75" s="15">
        <v>45401</v>
      </c>
      <c r="H75" s="16">
        <v>0.41666666666666669</v>
      </c>
      <c r="I75" s="17">
        <v>52.22</v>
      </c>
      <c r="J75" s="17">
        <v>27.44</v>
      </c>
      <c r="K75" s="17">
        <v>452.02</v>
      </c>
      <c r="L75" s="17"/>
    </row>
    <row r="76" spans="1:12" ht="16" x14ac:dyDescent="0.2">
      <c r="A76" s="7"/>
      <c r="B76" s="7"/>
      <c r="G76" s="15">
        <v>45401</v>
      </c>
      <c r="H76" s="16">
        <v>0.45833333333333331</v>
      </c>
      <c r="I76" s="17">
        <v>50.03</v>
      </c>
      <c r="J76" s="17">
        <v>28.12</v>
      </c>
      <c r="K76" s="17">
        <v>445.28</v>
      </c>
      <c r="L76" s="17"/>
    </row>
    <row r="77" spans="1:12" ht="16" x14ac:dyDescent="0.2">
      <c r="A77" s="7"/>
      <c r="B77" s="7"/>
      <c r="G77" s="15">
        <v>45401</v>
      </c>
      <c r="H77" s="16">
        <v>0.5</v>
      </c>
      <c r="I77" s="17">
        <v>49.23</v>
      </c>
      <c r="J77" s="17">
        <v>28.03</v>
      </c>
      <c r="K77" s="17">
        <v>439.05</v>
      </c>
      <c r="L77" s="17"/>
    </row>
    <row r="78" spans="1:12" ht="16" x14ac:dyDescent="0.2">
      <c r="A78" s="7"/>
      <c r="B78" s="7"/>
      <c r="G78" s="15">
        <v>45401</v>
      </c>
      <c r="H78" s="16">
        <v>0.54166666666666663</v>
      </c>
      <c r="I78" s="17">
        <v>49.39</v>
      </c>
      <c r="J78" s="17">
        <v>27.56</v>
      </c>
      <c r="K78" s="17">
        <v>431.04</v>
      </c>
      <c r="L78" s="17"/>
    </row>
    <row r="79" spans="1:12" ht="16" x14ac:dyDescent="0.2">
      <c r="A79" s="7"/>
      <c r="B79" s="7"/>
      <c r="G79" s="15">
        <v>45401</v>
      </c>
      <c r="H79" s="16">
        <v>0.58333333333333337</v>
      </c>
      <c r="I79" s="17">
        <v>50.41</v>
      </c>
      <c r="J79" s="17">
        <v>26.37</v>
      </c>
      <c r="K79" s="17">
        <v>425.01</v>
      </c>
      <c r="L79" s="17"/>
    </row>
    <row r="80" spans="1:12" ht="16" x14ac:dyDescent="0.2">
      <c r="A80" s="7"/>
      <c r="B80" s="7"/>
      <c r="G80" s="15">
        <v>45401</v>
      </c>
      <c r="H80" s="16">
        <v>0.625</v>
      </c>
      <c r="I80" s="17">
        <v>52.28</v>
      </c>
      <c r="J80" s="17">
        <v>24.48</v>
      </c>
      <c r="K80" s="17">
        <v>419.48</v>
      </c>
      <c r="L80" s="17"/>
    </row>
    <row r="81" spans="1:12" ht="16" x14ac:dyDescent="0.2">
      <c r="A81" s="7"/>
      <c r="B81" s="7"/>
      <c r="G81" s="15">
        <v>45401</v>
      </c>
      <c r="H81" s="16">
        <v>0.66666666666666663</v>
      </c>
      <c r="I81" s="17">
        <v>54.21</v>
      </c>
      <c r="J81" s="17">
        <v>24.24</v>
      </c>
      <c r="K81" s="17">
        <v>425.96</v>
      </c>
      <c r="L81" s="17"/>
    </row>
    <row r="82" spans="1:12" ht="16" x14ac:dyDescent="0.2">
      <c r="A82" s="7"/>
      <c r="B82" s="7"/>
      <c r="G82" s="15">
        <v>45401</v>
      </c>
      <c r="H82" s="16">
        <v>0.70833333333333337</v>
      </c>
      <c r="I82" s="17">
        <v>55.02</v>
      </c>
      <c r="J82" s="17">
        <v>24.17</v>
      </c>
      <c r="K82" s="17">
        <v>426.76</v>
      </c>
      <c r="L82" s="17"/>
    </row>
    <row r="83" spans="1:12" ht="16" x14ac:dyDescent="0.2">
      <c r="A83" s="7"/>
      <c r="B83" s="7"/>
      <c r="G83" s="15">
        <v>45401</v>
      </c>
      <c r="H83" s="16">
        <v>0.75</v>
      </c>
      <c r="I83" s="17">
        <v>57.14</v>
      </c>
      <c r="J83" s="17">
        <v>19.190000000000001</v>
      </c>
      <c r="K83" s="17">
        <v>443.04</v>
      </c>
      <c r="L83" s="17"/>
    </row>
    <row r="84" spans="1:12" ht="16" x14ac:dyDescent="0.2">
      <c r="A84" s="7"/>
      <c r="B84" s="7"/>
      <c r="G84" s="15">
        <v>45401</v>
      </c>
      <c r="H84" s="16">
        <v>0.79166666666666663</v>
      </c>
      <c r="I84" s="17">
        <v>59.13</v>
      </c>
      <c r="J84" s="17">
        <v>20.81</v>
      </c>
      <c r="K84" s="17">
        <v>449.09</v>
      </c>
      <c r="L84" s="17"/>
    </row>
    <row r="85" spans="1:12" ht="16" x14ac:dyDescent="0.2">
      <c r="A85" s="7"/>
      <c r="B85" s="7"/>
      <c r="G85" s="15">
        <v>45401</v>
      </c>
      <c r="H85" s="16">
        <v>0.83333333333333337</v>
      </c>
      <c r="I85" s="17">
        <v>60.21</v>
      </c>
      <c r="J85" s="17">
        <v>19.93</v>
      </c>
      <c r="K85" s="17">
        <v>451.71</v>
      </c>
      <c r="L85" s="17"/>
    </row>
    <row r="86" spans="1:12" ht="16" x14ac:dyDescent="0.2">
      <c r="A86" s="7"/>
      <c r="B86" s="7"/>
      <c r="G86" s="15">
        <v>45401</v>
      </c>
      <c r="H86" s="16">
        <v>0.875</v>
      </c>
      <c r="I86" s="17">
        <v>61.19</v>
      </c>
      <c r="J86" s="17">
        <v>19.350000000000001</v>
      </c>
      <c r="K86" s="17">
        <v>456.36</v>
      </c>
      <c r="L86" s="17"/>
    </row>
    <row r="87" spans="1:12" ht="16" x14ac:dyDescent="0.2">
      <c r="A87" s="7"/>
      <c r="B87" s="7"/>
      <c r="G87" s="15">
        <v>45401</v>
      </c>
      <c r="H87" s="16">
        <v>0.91666666666666663</v>
      </c>
      <c r="I87" s="17">
        <v>62.16</v>
      </c>
      <c r="J87" s="17">
        <v>18.760000000000002</v>
      </c>
      <c r="K87" s="17">
        <v>459.45</v>
      </c>
      <c r="L87" s="17"/>
    </row>
    <row r="88" spans="1:12" ht="16" x14ac:dyDescent="0.2">
      <c r="A88" s="7"/>
      <c r="B88" s="7"/>
      <c r="G88" s="15">
        <v>45401</v>
      </c>
      <c r="H88" s="16">
        <v>0.95833333333333337</v>
      </c>
      <c r="I88" s="17">
        <v>62.81</v>
      </c>
      <c r="J88" s="17">
        <v>18.399999999999999</v>
      </c>
      <c r="K88" s="17">
        <v>460.25</v>
      </c>
      <c r="L88" s="17"/>
    </row>
    <row r="89" spans="1:12" ht="16" x14ac:dyDescent="0.2">
      <c r="A89" s="7"/>
      <c r="B89" s="7"/>
      <c r="G89" s="15">
        <v>45402</v>
      </c>
      <c r="H89" s="16">
        <v>0</v>
      </c>
      <c r="I89" s="17">
        <v>63.14</v>
      </c>
      <c r="J89" s="17">
        <v>18.03</v>
      </c>
      <c r="K89" s="17">
        <v>464.14</v>
      </c>
      <c r="L89" s="17"/>
    </row>
    <row r="90" spans="1:12" ht="16" x14ac:dyDescent="0.2">
      <c r="A90" s="7"/>
      <c r="B90" s="7"/>
      <c r="G90" s="15">
        <v>45402</v>
      </c>
      <c r="H90" s="16">
        <v>4.1666666666666664E-2</v>
      </c>
      <c r="I90" s="17">
        <v>63.64</v>
      </c>
      <c r="J90" s="17">
        <v>17.690000000000001</v>
      </c>
      <c r="K90" s="17">
        <v>463.47</v>
      </c>
      <c r="L90" s="17"/>
    </row>
    <row r="91" spans="1:12" ht="16" x14ac:dyDescent="0.2">
      <c r="A91" s="7"/>
      <c r="B91" s="7"/>
      <c r="G91" s="15">
        <v>45402</v>
      </c>
      <c r="H91" s="16">
        <v>8.3333333333333329E-2</v>
      </c>
      <c r="I91" s="17">
        <v>64.239999999999995</v>
      </c>
      <c r="J91" s="17">
        <v>17.34</v>
      </c>
      <c r="K91" s="17">
        <v>464.28</v>
      </c>
      <c r="L91" s="17"/>
    </row>
    <row r="92" spans="1:12" ht="16" x14ac:dyDescent="0.2">
      <c r="A92" s="7"/>
      <c r="B92" s="7"/>
      <c r="G92" s="15">
        <v>45402</v>
      </c>
      <c r="H92" s="16">
        <v>0.125</v>
      </c>
      <c r="I92" s="17">
        <v>64.650000000000006</v>
      </c>
      <c r="J92" s="17">
        <v>16.86</v>
      </c>
      <c r="K92" s="17">
        <v>467.05</v>
      </c>
      <c r="L92" s="17"/>
    </row>
    <row r="93" spans="1:12" ht="16" x14ac:dyDescent="0.2">
      <c r="A93" s="7"/>
      <c r="B93" s="7"/>
      <c r="G93" s="15">
        <v>45402</v>
      </c>
      <c r="H93" s="16">
        <v>0.16666666666666666</v>
      </c>
      <c r="I93" s="17">
        <v>65.37</v>
      </c>
      <c r="J93" s="17">
        <v>16.61</v>
      </c>
      <c r="K93" s="17">
        <v>470.38</v>
      </c>
      <c r="L93" s="17"/>
    </row>
    <row r="94" spans="1:12" ht="16" x14ac:dyDescent="0.2">
      <c r="A94" s="7"/>
      <c r="B94" s="7"/>
      <c r="G94" s="15">
        <v>45402</v>
      </c>
      <c r="H94" s="16">
        <v>0.20833333333333334</v>
      </c>
      <c r="I94" s="17">
        <v>65.28</v>
      </c>
      <c r="J94" s="17">
        <v>16.98</v>
      </c>
      <c r="K94" s="17">
        <v>475.2</v>
      </c>
      <c r="L94" s="17"/>
    </row>
    <row r="95" spans="1:12" ht="16" x14ac:dyDescent="0.2">
      <c r="A95" s="7"/>
      <c r="B95" s="7"/>
      <c r="G95" s="15">
        <v>45402</v>
      </c>
      <c r="H95" s="16">
        <v>0.25</v>
      </c>
      <c r="I95" s="17">
        <v>63.6</v>
      </c>
      <c r="J95" s="17">
        <v>22.68</v>
      </c>
      <c r="K95" s="17">
        <v>473.81</v>
      </c>
      <c r="L95" s="17"/>
    </row>
    <row r="96" spans="1:12" ht="16" x14ac:dyDescent="0.2">
      <c r="A96" s="7"/>
      <c r="B96" s="7"/>
      <c r="G96" s="15">
        <v>45402</v>
      </c>
      <c r="H96" s="16">
        <v>0.29166666666666669</v>
      </c>
      <c r="I96" s="17">
        <v>60.02</v>
      </c>
      <c r="J96" s="17">
        <v>25.18</v>
      </c>
      <c r="K96" s="17">
        <v>456.91</v>
      </c>
      <c r="L96" s="17"/>
    </row>
    <row r="97" spans="1:12" ht="16" x14ac:dyDescent="0.2">
      <c r="A97" s="7"/>
      <c r="B97" s="7"/>
      <c r="G97" s="15">
        <v>45402</v>
      </c>
      <c r="H97" s="16">
        <v>0.33333333333333331</v>
      </c>
      <c r="I97" s="17">
        <v>56.72</v>
      </c>
      <c r="J97" s="17">
        <v>24.62</v>
      </c>
      <c r="K97" s="17">
        <v>446.47</v>
      </c>
      <c r="L97" s="17"/>
    </row>
    <row r="98" spans="1:12" ht="16" x14ac:dyDescent="0.2">
      <c r="A98" s="7"/>
      <c r="B98" s="7"/>
      <c r="G98" s="15">
        <v>45402</v>
      </c>
      <c r="H98" s="16">
        <v>0.375</v>
      </c>
      <c r="I98" s="17">
        <v>53.55</v>
      </c>
      <c r="J98" s="17">
        <v>26.05</v>
      </c>
      <c r="K98" s="17">
        <v>442.23</v>
      </c>
      <c r="L98" s="17"/>
    </row>
    <row r="99" spans="1:12" ht="16" x14ac:dyDescent="0.2">
      <c r="A99" s="7"/>
      <c r="B99" s="7"/>
      <c r="G99" s="15">
        <v>45402</v>
      </c>
      <c r="H99" s="16">
        <v>0.41666666666666669</v>
      </c>
      <c r="I99" s="17">
        <v>50.75</v>
      </c>
      <c r="J99" s="17">
        <v>27.57</v>
      </c>
      <c r="K99" s="17">
        <v>437.49</v>
      </c>
      <c r="L99" s="17"/>
    </row>
    <row r="100" spans="1:12" ht="16" x14ac:dyDescent="0.2">
      <c r="A100" s="7"/>
      <c r="B100" s="7"/>
      <c r="G100" s="15">
        <v>45402</v>
      </c>
      <c r="H100" s="16">
        <v>0.45833333333333331</v>
      </c>
      <c r="I100" s="17">
        <v>48.73</v>
      </c>
      <c r="J100" s="17">
        <v>28.72</v>
      </c>
      <c r="K100" s="17">
        <v>435.35</v>
      </c>
      <c r="L100" s="17"/>
    </row>
    <row r="101" spans="1:12" ht="16" x14ac:dyDescent="0.2">
      <c r="A101" s="7"/>
      <c r="B101" s="7"/>
      <c r="G101" s="15">
        <v>45402</v>
      </c>
      <c r="H101" s="16">
        <v>0.5</v>
      </c>
      <c r="I101" s="17">
        <v>47.68</v>
      </c>
      <c r="J101" s="17">
        <v>29.55</v>
      </c>
      <c r="K101" s="17">
        <v>435.97</v>
      </c>
      <c r="L101" s="17"/>
    </row>
    <row r="102" spans="1:12" ht="16" x14ac:dyDescent="0.2">
      <c r="A102" s="7"/>
      <c r="B102" s="7"/>
      <c r="G102" s="15">
        <v>45402</v>
      </c>
      <c r="H102" s="16">
        <v>0.54166666666666663</v>
      </c>
      <c r="I102" s="17">
        <v>48.08</v>
      </c>
      <c r="J102" s="17">
        <v>28.24</v>
      </c>
      <c r="K102" s="17">
        <v>425.95</v>
      </c>
      <c r="L102" s="17"/>
    </row>
    <row r="103" spans="1:12" ht="16" x14ac:dyDescent="0.2">
      <c r="A103" s="7"/>
      <c r="B103" s="7"/>
      <c r="G103" s="15">
        <v>45402</v>
      </c>
      <c r="H103" s="16">
        <v>0.58333333333333337</v>
      </c>
      <c r="I103" s="17">
        <v>49.29</v>
      </c>
      <c r="J103" s="17">
        <v>26.91</v>
      </c>
      <c r="K103" s="17">
        <v>418.79</v>
      </c>
      <c r="L103" s="17"/>
    </row>
    <row r="104" spans="1:12" ht="16" x14ac:dyDescent="0.2">
      <c r="A104" s="7"/>
      <c r="B104" s="7"/>
      <c r="G104" s="15">
        <v>45402</v>
      </c>
      <c r="H104" s="16">
        <v>0.625</v>
      </c>
      <c r="I104" s="17">
        <v>51.25</v>
      </c>
      <c r="J104" s="17">
        <v>25.48</v>
      </c>
      <c r="K104" s="17">
        <v>415.59</v>
      </c>
      <c r="L104" s="12"/>
    </row>
    <row r="105" spans="1:12" ht="16" x14ac:dyDescent="0.2">
      <c r="A105" s="7"/>
      <c r="B105" s="7"/>
      <c r="G105" s="15">
        <v>45402</v>
      </c>
      <c r="H105" s="16">
        <v>0.66666666666666663</v>
      </c>
      <c r="I105" s="17">
        <v>53.05</v>
      </c>
      <c r="J105" s="17">
        <v>24.25</v>
      </c>
      <c r="K105" s="17">
        <v>417.95</v>
      </c>
      <c r="L105" s="12"/>
    </row>
    <row r="106" spans="1:12" ht="16" x14ac:dyDescent="0.2">
      <c r="A106" s="7"/>
      <c r="B106" s="7"/>
      <c r="G106" s="15">
        <v>45402</v>
      </c>
      <c r="H106" s="16">
        <v>0.70833333333333337</v>
      </c>
      <c r="I106" s="17">
        <v>55.16</v>
      </c>
      <c r="J106" s="17">
        <v>21.88</v>
      </c>
      <c r="K106" s="17">
        <v>424.16</v>
      </c>
      <c r="L106" s="12"/>
    </row>
    <row r="107" spans="1:12" ht="16" x14ac:dyDescent="0.2">
      <c r="A107" s="7"/>
      <c r="B107" s="7"/>
      <c r="G107" s="15">
        <v>45402</v>
      </c>
      <c r="H107" s="16">
        <v>0.75</v>
      </c>
      <c r="I107" s="17">
        <v>57.19</v>
      </c>
      <c r="J107" s="17">
        <v>23.91</v>
      </c>
      <c r="K107" s="17">
        <v>434.91</v>
      </c>
      <c r="L107" s="12"/>
    </row>
    <row r="108" spans="1:12" ht="16" x14ac:dyDescent="0.2">
      <c r="A108" s="7"/>
      <c r="B108" s="7"/>
      <c r="G108" s="15">
        <v>45402</v>
      </c>
      <c r="H108" s="16">
        <v>0.79166666666666663</v>
      </c>
      <c r="I108" s="17">
        <v>59.35</v>
      </c>
      <c r="J108" s="17">
        <v>22.75</v>
      </c>
      <c r="K108" s="17">
        <v>437.23</v>
      </c>
      <c r="L108" s="12"/>
    </row>
    <row r="109" spans="1:12" ht="16" x14ac:dyDescent="0.2">
      <c r="A109" s="7"/>
      <c r="B109" s="7"/>
      <c r="G109" s="15">
        <v>45402</v>
      </c>
      <c r="H109" s="16">
        <v>0.83333333333333337</v>
      </c>
      <c r="I109" s="17">
        <v>60.51</v>
      </c>
      <c r="J109" s="17">
        <v>21.54</v>
      </c>
      <c r="K109" s="17">
        <v>446.77</v>
      </c>
      <c r="L109" s="12"/>
    </row>
    <row r="110" spans="1:12" ht="16" x14ac:dyDescent="0.2">
      <c r="A110" s="7"/>
      <c r="B110" s="7"/>
      <c r="G110" s="15">
        <v>45402</v>
      </c>
      <c r="H110" s="16">
        <v>0.875</v>
      </c>
      <c r="I110" s="17">
        <v>61.37</v>
      </c>
      <c r="J110" s="17">
        <v>20.350000000000001</v>
      </c>
      <c r="K110" s="17">
        <v>456.2</v>
      </c>
      <c r="L110" s="12"/>
    </row>
    <row r="111" spans="1:12" ht="16" x14ac:dyDescent="0.2">
      <c r="A111" s="7"/>
      <c r="B111" s="7"/>
      <c r="G111" s="15">
        <v>45402</v>
      </c>
      <c r="H111" s="16">
        <v>0.91666666666666663</v>
      </c>
      <c r="I111" s="17">
        <v>61.93</v>
      </c>
      <c r="J111" s="17">
        <v>19.62</v>
      </c>
      <c r="K111" s="17">
        <v>461.26</v>
      </c>
      <c r="L111" s="12"/>
    </row>
    <row r="112" spans="1:12" ht="16" x14ac:dyDescent="0.2">
      <c r="A112" s="7"/>
      <c r="B112" s="7"/>
      <c r="G112" s="15">
        <v>45402</v>
      </c>
      <c r="H112" s="16">
        <v>0.95833333333333337</v>
      </c>
      <c r="I112" s="17">
        <v>62.45</v>
      </c>
      <c r="J112" s="17">
        <v>18.87</v>
      </c>
      <c r="K112" s="17">
        <v>465.64</v>
      </c>
      <c r="L112" s="12"/>
    </row>
    <row r="113" spans="1:12" ht="16" x14ac:dyDescent="0.2">
      <c r="A113" s="7"/>
      <c r="B113" s="7"/>
      <c r="G113" s="15">
        <v>45403</v>
      </c>
      <c r="H113" s="16">
        <v>0</v>
      </c>
      <c r="I113" s="17">
        <v>63.03</v>
      </c>
      <c r="J113" s="17">
        <v>18.260000000000002</v>
      </c>
      <c r="K113" s="17">
        <v>464.68</v>
      </c>
      <c r="L113" s="12"/>
    </row>
    <row r="114" spans="1:12" ht="16" x14ac:dyDescent="0.2">
      <c r="A114" s="7"/>
      <c r="B114" s="7"/>
      <c r="G114" s="15">
        <v>45403</v>
      </c>
      <c r="H114" s="16">
        <v>4.1666666666666664E-2</v>
      </c>
      <c r="I114" s="17">
        <v>64.28</v>
      </c>
      <c r="J114" s="17">
        <v>17.59</v>
      </c>
      <c r="K114" s="17">
        <v>467.63</v>
      </c>
      <c r="L114" s="12"/>
    </row>
    <row r="115" spans="1:12" ht="16" x14ac:dyDescent="0.2">
      <c r="A115" s="7"/>
      <c r="B115" s="7"/>
      <c r="G115" s="15">
        <v>45403</v>
      </c>
      <c r="H115" s="16">
        <v>8.3333333333333329E-2</v>
      </c>
      <c r="I115" s="17">
        <v>64.52</v>
      </c>
      <c r="J115" s="17">
        <v>17.420000000000002</v>
      </c>
      <c r="K115" s="17">
        <v>467.63</v>
      </c>
      <c r="L115" s="12"/>
    </row>
    <row r="116" spans="1:12" ht="16" x14ac:dyDescent="0.2">
      <c r="A116" s="7"/>
      <c r="B116" s="7"/>
      <c r="G116" s="15">
        <v>45403</v>
      </c>
      <c r="H116" s="16">
        <v>0.125</v>
      </c>
      <c r="I116" s="17">
        <v>64.73</v>
      </c>
      <c r="J116" s="17">
        <v>17.079999999999998</v>
      </c>
      <c r="K116" s="17">
        <v>470.64</v>
      </c>
      <c r="L116" s="12"/>
    </row>
    <row r="117" spans="1:12" ht="16" x14ac:dyDescent="0.2">
      <c r="A117" s="7"/>
      <c r="B117" s="7"/>
      <c r="G117" s="15">
        <v>45403</v>
      </c>
      <c r="H117" s="16">
        <v>0.16666666666666666</v>
      </c>
      <c r="I117" s="17">
        <v>64.33</v>
      </c>
      <c r="J117" s="17">
        <v>16.71</v>
      </c>
      <c r="K117" s="17">
        <v>478.53</v>
      </c>
      <c r="L117" s="12"/>
    </row>
    <row r="118" spans="1:12" ht="16" x14ac:dyDescent="0.2">
      <c r="A118" s="7"/>
      <c r="B118" s="7"/>
      <c r="G118" s="15">
        <v>45403</v>
      </c>
      <c r="H118" s="16">
        <v>0.20833333333333334</v>
      </c>
      <c r="I118" s="17">
        <v>65.08</v>
      </c>
      <c r="J118" s="17">
        <v>16.87</v>
      </c>
      <c r="K118" s="17">
        <v>478.29</v>
      </c>
      <c r="L118" s="12"/>
    </row>
    <row r="119" spans="1:12" ht="16" x14ac:dyDescent="0.2">
      <c r="A119" s="7"/>
      <c r="B119" s="7"/>
      <c r="G119" s="15">
        <v>45403</v>
      </c>
      <c r="H119" s="16">
        <v>0.25</v>
      </c>
      <c r="I119" s="17">
        <v>63.23</v>
      </c>
      <c r="J119" s="17">
        <v>23.31</v>
      </c>
      <c r="K119" s="17">
        <v>479.02</v>
      </c>
      <c r="L119" s="12"/>
    </row>
    <row r="120" spans="1:12" ht="16" x14ac:dyDescent="0.2">
      <c r="A120" s="7"/>
      <c r="B120" s="7"/>
      <c r="G120" s="15">
        <v>45403</v>
      </c>
      <c r="H120" s="16">
        <v>0.29166666666666669</v>
      </c>
      <c r="I120" s="17">
        <v>59.39</v>
      </c>
      <c r="J120" s="17">
        <v>25.35</v>
      </c>
      <c r="K120" s="17">
        <v>462.73</v>
      </c>
      <c r="L120" s="12"/>
    </row>
    <row r="121" spans="1:12" ht="16" x14ac:dyDescent="0.2">
      <c r="A121" s="7"/>
      <c r="B121" s="7"/>
      <c r="G121" s="15">
        <v>45403</v>
      </c>
      <c r="H121" s="16">
        <v>0.33333333333333331</v>
      </c>
      <c r="I121" s="17">
        <v>56.2</v>
      </c>
      <c r="J121" s="17">
        <v>23.9</v>
      </c>
      <c r="K121" s="17">
        <v>456.31</v>
      </c>
      <c r="L121" s="12"/>
    </row>
    <row r="122" spans="1:12" ht="16" x14ac:dyDescent="0.2">
      <c r="A122" s="7"/>
      <c r="B122" s="7"/>
      <c r="G122" s="15">
        <v>45403</v>
      </c>
      <c r="H122" s="16">
        <v>0.375</v>
      </c>
      <c r="I122" s="17">
        <v>53.37</v>
      </c>
      <c r="J122" s="17">
        <v>25.08</v>
      </c>
      <c r="K122" s="17">
        <v>448.38</v>
      </c>
      <c r="L122" s="12"/>
    </row>
    <row r="123" spans="1:12" ht="16" x14ac:dyDescent="0.2">
      <c r="A123" s="7"/>
      <c r="B123" s="7"/>
      <c r="G123" s="15">
        <v>45403</v>
      </c>
      <c r="H123" s="16">
        <v>0.41666666666666669</v>
      </c>
      <c r="I123" s="17">
        <v>51.14</v>
      </c>
      <c r="J123" s="17">
        <v>26.13</v>
      </c>
      <c r="K123" s="17">
        <v>445.26</v>
      </c>
      <c r="L123" s="12"/>
    </row>
    <row r="124" spans="1:12" ht="16" x14ac:dyDescent="0.2">
      <c r="A124" s="7"/>
      <c r="B124" s="7"/>
      <c r="G124" s="15">
        <v>45403</v>
      </c>
      <c r="H124" s="16">
        <v>0.45833333333333331</v>
      </c>
      <c r="I124" s="17">
        <v>48.53</v>
      </c>
      <c r="J124" s="17">
        <v>27.48</v>
      </c>
      <c r="K124" s="17">
        <v>441.45</v>
      </c>
      <c r="L124" s="12"/>
    </row>
    <row r="125" spans="1:12" ht="16" x14ac:dyDescent="0.2">
      <c r="A125" s="7"/>
      <c r="B125" s="7"/>
      <c r="G125" s="15">
        <v>45403</v>
      </c>
      <c r="H125" s="16">
        <v>0.5</v>
      </c>
      <c r="I125" s="17">
        <v>47.95</v>
      </c>
      <c r="J125" s="17">
        <v>26.63</v>
      </c>
      <c r="K125" s="17">
        <v>435.09</v>
      </c>
      <c r="L125" s="12"/>
    </row>
    <row r="126" spans="1:12" ht="16" x14ac:dyDescent="0.2">
      <c r="A126" s="7"/>
      <c r="B126" s="7"/>
      <c r="G126" s="15">
        <v>45403</v>
      </c>
      <c r="H126" s="16">
        <v>0.54166666666666663</v>
      </c>
      <c r="I126" s="17">
        <v>48.14</v>
      </c>
      <c r="J126" s="17">
        <v>26.39</v>
      </c>
      <c r="K126" s="17">
        <v>428.22</v>
      </c>
      <c r="L126" s="12"/>
    </row>
    <row r="127" spans="1:12" ht="16" x14ac:dyDescent="0.2">
      <c r="A127" s="7"/>
      <c r="B127" s="7"/>
      <c r="G127" s="15">
        <v>45403</v>
      </c>
      <c r="H127" s="16">
        <v>0.58333333333333337</v>
      </c>
      <c r="I127" s="17">
        <v>49.18</v>
      </c>
      <c r="J127" s="17">
        <v>25.5</v>
      </c>
      <c r="K127" s="17">
        <v>426.12</v>
      </c>
      <c r="L127" s="12"/>
    </row>
    <row r="128" spans="1:12" ht="16" x14ac:dyDescent="0.2">
      <c r="A128" s="7"/>
      <c r="B128" s="7"/>
      <c r="G128" s="15">
        <v>45403</v>
      </c>
      <c r="H128" s="16">
        <v>0.625</v>
      </c>
      <c r="I128" s="17">
        <v>47.95</v>
      </c>
      <c r="J128" s="17">
        <v>27.66</v>
      </c>
      <c r="K128" s="17">
        <v>445.31</v>
      </c>
      <c r="L128" s="12"/>
    </row>
    <row r="129" spans="1:12" ht="16" x14ac:dyDescent="0.2">
      <c r="A129" s="7"/>
      <c r="B129" s="7"/>
      <c r="G129" s="15">
        <v>45403</v>
      </c>
      <c r="H129" s="16">
        <v>0.66666666666666663</v>
      </c>
      <c r="I129" s="17">
        <v>51.75</v>
      </c>
      <c r="J129" s="17">
        <v>22.26</v>
      </c>
      <c r="K129" s="17">
        <v>442.76</v>
      </c>
      <c r="L129" s="12"/>
    </row>
    <row r="130" spans="1:12" ht="16" x14ac:dyDescent="0.2">
      <c r="A130" s="7"/>
      <c r="B130" s="7"/>
      <c r="G130" s="15">
        <v>45403</v>
      </c>
      <c r="H130" s="16">
        <v>0.70833333333333337</v>
      </c>
      <c r="I130" s="17">
        <v>53.59</v>
      </c>
      <c r="J130" s="17">
        <v>18.899999999999999</v>
      </c>
      <c r="K130" s="17">
        <v>455.28</v>
      </c>
      <c r="L130" s="12"/>
    </row>
    <row r="131" spans="1:12" ht="16" x14ac:dyDescent="0.2">
      <c r="A131" s="7"/>
      <c r="B131" s="7"/>
      <c r="G131" s="15">
        <v>45403</v>
      </c>
      <c r="H131" s="16">
        <v>0.75</v>
      </c>
      <c r="I131" s="17">
        <v>55.3</v>
      </c>
      <c r="J131" s="17">
        <v>19.64</v>
      </c>
      <c r="K131" s="17">
        <v>465.33</v>
      </c>
      <c r="L131" s="12"/>
    </row>
    <row r="132" spans="1:12" ht="16" x14ac:dyDescent="0.2">
      <c r="A132" s="7"/>
      <c r="B132" s="7"/>
      <c r="G132" s="15">
        <v>45403</v>
      </c>
      <c r="H132" s="16">
        <v>0.79166666666666663</v>
      </c>
      <c r="I132" s="17">
        <v>56.95</v>
      </c>
      <c r="J132" s="17">
        <v>20.67</v>
      </c>
      <c r="K132" s="17">
        <v>467.23</v>
      </c>
      <c r="L132" s="12"/>
    </row>
    <row r="133" spans="1:12" ht="16" x14ac:dyDescent="0.2">
      <c r="A133" s="7"/>
      <c r="B133" s="7"/>
      <c r="G133" s="15">
        <v>45403</v>
      </c>
      <c r="H133" s="16">
        <v>0.83333333333333337</v>
      </c>
      <c r="I133" s="17">
        <v>58.31</v>
      </c>
      <c r="J133" s="17">
        <v>19.7</v>
      </c>
      <c r="K133" s="17">
        <v>475.06</v>
      </c>
      <c r="L133" s="12"/>
    </row>
    <row r="134" spans="1:12" ht="16" x14ac:dyDescent="0.2">
      <c r="A134" s="7"/>
      <c r="B134" s="7"/>
      <c r="G134" s="15">
        <v>45403</v>
      </c>
      <c r="H134" s="16">
        <v>0.875</v>
      </c>
      <c r="I134" s="17">
        <v>59.69</v>
      </c>
      <c r="J134" s="17">
        <v>18.760000000000002</v>
      </c>
      <c r="K134" s="17">
        <v>481.09</v>
      </c>
      <c r="L134" s="12"/>
    </row>
    <row r="135" spans="1:12" ht="16" x14ac:dyDescent="0.2">
      <c r="A135" s="7"/>
      <c r="B135" s="7"/>
      <c r="G135" s="15">
        <v>45403</v>
      </c>
      <c r="H135" s="16">
        <v>0.91666666666666663</v>
      </c>
      <c r="I135" s="17">
        <v>60.88</v>
      </c>
      <c r="J135" s="17">
        <v>18.059999999999999</v>
      </c>
      <c r="K135" s="17">
        <v>483.93</v>
      </c>
      <c r="L135" s="12"/>
    </row>
    <row r="136" spans="1:12" ht="16" x14ac:dyDescent="0.2">
      <c r="A136" s="7"/>
      <c r="B136" s="7"/>
      <c r="G136" s="15">
        <v>45403</v>
      </c>
      <c r="H136" s="16">
        <v>0.95833333333333337</v>
      </c>
      <c r="I136" s="17">
        <v>61.93</v>
      </c>
      <c r="J136" s="17">
        <v>17.7</v>
      </c>
      <c r="K136" s="17">
        <v>485.12</v>
      </c>
      <c r="L136" s="12"/>
    </row>
    <row r="137" spans="1:12" ht="16" x14ac:dyDescent="0.2">
      <c r="A137" s="7"/>
      <c r="B137" s="7"/>
      <c r="G137" s="15">
        <v>45404</v>
      </c>
      <c r="H137" s="16">
        <v>0</v>
      </c>
      <c r="I137" s="17">
        <v>62.78</v>
      </c>
      <c r="J137" s="17">
        <v>17.350000000000001</v>
      </c>
      <c r="K137" s="17">
        <v>487.66</v>
      </c>
      <c r="L137" s="12"/>
    </row>
    <row r="138" spans="1:12" ht="16" x14ac:dyDescent="0.2">
      <c r="A138" s="7"/>
      <c r="B138" s="7"/>
      <c r="G138" s="15">
        <v>45404</v>
      </c>
      <c r="H138" s="16">
        <v>4.1666666666666664E-2</v>
      </c>
      <c r="I138" s="17">
        <v>63.44</v>
      </c>
      <c r="J138" s="17">
        <v>17.03</v>
      </c>
      <c r="K138" s="17">
        <v>488.74</v>
      </c>
      <c r="L138" s="12"/>
    </row>
    <row r="139" spans="1:12" ht="16" x14ac:dyDescent="0.2">
      <c r="A139" s="7"/>
      <c r="B139" s="7"/>
      <c r="G139" s="15">
        <v>45404</v>
      </c>
      <c r="H139" s="16">
        <v>8.3333333333333329E-2</v>
      </c>
      <c r="I139" s="17">
        <v>63.89</v>
      </c>
      <c r="J139" s="17">
        <v>16.71</v>
      </c>
      <c r="K139" s="17">
        <v>489.49</v>
      </c>
      <c r="L139" s="12"/>
    </row>
    <row r="140" spans="1:12" ht="16" x14ac:dyDescent="0.2">
      <c r="A140" s="7"/>
      <c r="B140" s="7"/>
      <c r="G140" s="15">
        <v>45404</v>
      </c>
      <c r="H140" s="16">
        <v>0.125</v>
      </c>
      <c r="I140" s="17">
        <v>64.31</v>
      </c>
      <c r="J140" s="17">
        <v>16.309999999999999</v>
      </c>
      <c r="K140" s="17">
        <v>492.33</v>
      </c>
      <c r="L140" s="12"/>
    </row>
    <row r="141" spans="1:12" ht="16" x14ac:dyDescent="0.2">
      <c r="A141" s="7"/>
      <c r="B141" s="7"/>
      <c r="G141" s="15">
        <v>45404</v>
      </c>
      <c r="H141" s="16">
        <v>0.16666666666666666</v>
      </c>
      <c r="I141" s="17">
        <v>64.77</v>
      </c>
      <c r="J141" s="17">
        <v>16.059999999999999</v>
      </c>
      <c r="K141" s="17">
        <v>490.91</v>
      </c>
      <c r="L141" s="12"/>
    </row>
    <row r="142" spans="1:12" ht="16" x14ac:dyDescent="0.2">
      <c r="A142" s="7"/>
      <c r="B142" s="7"/>
      <c r="G142" s="15">
        <v>45404</v>
      </c>
      <c r="H142" s="16">
        <v>0.20833333333333334</v>
      </c>
      <c r="I142" s="17">
        <v>64.87</v>
      </c>
      <c r="J142" s="17">
        <v>16.36</v>
      </c>
      <c r="K142" s="17">
        <v>493.62</v>
      </c>
      <c r="L142" s="12"/>
    </row>
    <row r="143" spans="1:12" ht="16" x14ac:dyDescent="0.2">
      <c r="A143" s="7"/>
      <c r="B143" s="7"/>
      <c r="G143" s="15">
        <v>45404</v>
      </c>
      <c r="H143" s="16">
        <v>0.25</v>
      </c>
      <c r="I143" s="17">
        <v>63.14</v>
      </c>
      <c r="J143" s="17">
        <v>22.5</v>
      </c>
      <c r="K143" s="17">
        <v>485.71</v>
      </c>
      <c r="L143" s="12"/>
    </row>
    <row r="144" spans="1:12" ht="16" x14ac:dyDescent="0.2">
      <c r="A144" s="7"/>
      <c r="B144" s="7"/>
      <c r="G144" s="15">
        <v>45404</v>
      </c>
      <c r="H144" s="16">
        <v>0.29166666666666669</v>
      </c>
      <c r="I144" s="17">
        <v>59.33</v>
      </c>
      <c r="J144" s="17">
        <v>25.77</v>
      </c>
      <c r="K144" s="17">
        <v>470.73</v>
      </c>
      <c r="L144" s="12"/>
    </row>
    <row r="145" spans="1:12" ht="16" x14ac:dyDescent="0.2">
      <c r="A145" s="7"/>
      <c r="B145" s="7"/>
      <c r="G145" s="15">
        <v>45404</v>
      </c>
      <c r="H145" s="16">
        <v>0.33333333333333331</v>
      </c>
      <c r="I145" s="17">
        <v>55.58</v>
      </c>
      <c r="J145" s="17">
        <v>24.81</v>
      </c>
      <c r="K145" s="17">
        <v>463.57</v>
      </c>
      <c r="L145" s="12"/>
    </row>
    <row r="146" spans="1:12" ht="16" x14ac:dyDescent="0.2">
      <c r="A146" s="7"/>
      <c r="B146" s="7"/>
      <c r="G146" s="15">
        <v>45404</v>
      </c>
      <c r="H146" s="16">
        <v>0.375</v>
      </c>
      <c r="I146" s="17">
        <v>52.34</v>
      </c>
      <c r="J146" s="17">
        <v>24.26</v>
      </c>
      <c r="K146" s="17">
        <v>454.09</v>
      </c>
      <c r="L146" s="12"/>
    </row>
    <row r="147" spans="1:12" ht="16" x14ac:dyDescent="0.2">
      <c r="A147" s="7"/>
      <c r="B147" s="7"/>
      <c r="G147" s="15">
        <v>45404</v>
      </c>
      <c r="H147" s="16">
        <v>0.41666666666666669</v>
      </c>
      <c r="I147" s="17">
        <v>49.44</v>
      </c>
      <c r="J147" s="17">
        <v>25.39</v>
      </c>
      <c r="K147" s="17">
        <v>445.85</v>
      </c>
      <c r="L147" s="12"/>
    </row>
    <row r="148" spans="1:12" ht="16" x14ac:dyDescent="0.2">
      <c r="A148" s="7"/>
      <c r="B148" s="7"/>
      <c r="G148" s="15">
        <v>45404</v>
      </c>
      <c r="H148" s="16">
        <v>0.45833333333333331</v>
      </c>
      <c r="I148" s="17">
        <v>47.72</v>
      </c>
      <c r="J148" s="17">
        <v>26.14</v>
      </c>
      <c r="K148" s="17">
        <v>440.35</v>
      </c>
      <c r="L148" s="12"/>
    </row>
    <row r="149" spans="1:12" ht="16" x14ac:dyDescent="0.2">
      <c r="A149" s="7"/>
      <c r="B149" s="7"/>
      <c r="G149" s="15">
        <v>45404</v>
      </c>
      <c r="H149" s="16">
        <v>0.5</v>
      </c>
      <c r="I149" s="17">
        <v>46.94</v>
      </c>
      <c r="J149" s="17">
        <v>26.21</v>
      </c>
      <c r="K149" s="17">
        <v>435.14</v>
      </c>
      <c r="L149" s="12"/>
    </row>
    <row r="150" spans="1:12" ht="16" x14ac:dyDescent="0.2">
      <c r="A150" s="7"/>
      <c r="B150" s="7"/>
      <c r="G150" s="15">
        <v>45404</v>
      </c>
      <c r="H150" s="16">
        <v>0.54166666666666663</v>
      </c>
      <c r="I150" s="17">
        <v>46.03</v>
      </c>
      <c r="J150" s="17">
        <v>27.57</v>
      </c>
      <c r="K150" s="17">
        <v>428.73</v>
      </c>
      <c r="L150" s="12"/>
    </row>
    <row r="151" spans="1:12" ht="16" x14ac:dyDescent="0.2">
      <c r="A151" s="7"/>
      <c r="B151" s="7"/>
      <c r="G151" s="15">
        <v>45404</v>
      </c>
      <c r="H151" s="16">
        <v>0.58333333333333337</v>
      </c>
      <c r="I151" s="17">
        <v>46.81</v>
      </c>
      <c r="J151" s="17">
        <v>27.06</v>
      </c>
      <c r="K151" s="17">
        <v>427.15</v>
      </c>
      <c r="L151" s="12"/>
    </row>
    <row r="152" spans="1:12" ht="16" x14ac:dyDescent="0.2">
      <c r="A152" s="7"/>
      <c r="B152" s="7"/>
      <c r="G152" s="15">
        <v>45404</v>
      </c>
      <c r="H152" s="16">
        <v>0.625</v>
      </c>
      <c r="I152" s="17">
        <v>48.55</v>
      </c>
      <c r="J152" s="17">
        <v>25.07</v>
      </c>
      <c r="K152" s="17">
        <v>431.53</v>
      </c>
      <c r="L152" s="12"/>
    </row>
    <row r="153" spans="1:12" ht="16" x14ac:dyDescent="0.2">
      <c r="A153" s="7"/>
      <c r="B153" s="7"/>
      <c r="G153" s="15">
        <v>45404</v>
      </c>
      <c r="H153" s="16">
        <v>0.66666666666666663</v>
      </c>
      <c r="I153" s="17">
        <v>50.02</v>
      </c>
      <c r="J153" s="17">
        <v>26.43</v>
      </c>
      <c r="K153" s="17">
        <v>435.36</v>
      </c>
      <c r="L153" s="12"/>
    </row>
    <row r="154" spans="1:12" ht="16" x14ac:dyDescent="0.2">
      <c r="A154" s="7"/>
      <c r="B154" s="7"/>
      <c r="G154" s="15">
        <v>45404</v>
      </c>
      <c r="H154" s="16">
        <v>0.70833333333333337</v>
      </c>
      <c r="I154" s="17">
        <v>50.6</v>
      </c>
      <c r="J154" s="17">
        <v>27.87</v>
      </c>
      <c r="K154" s="17">
        <v>439.1</v>
      </c>
      <c r="L154" s="12"/>
    </row>
    <row r="155" spans="1:12" ht="16" x14ac:dyDescent="0.2">
      <c r="A155" s="7"/>
      <c r="B155" s="7"/>
      <c r="G155" s="15">
        <v>45404</v>
      </c>
      <c r="H155" s="16">
        <v>0.75</v>
      </c>
      <c r="I155" s="17">
        <v>53.33</v>
      </c>
      <c r="J155" s="17">
        <v>24.34</v>
      </c>
      <c r="K155" s="17">
        <v>445.55</v>
      </c>
      <c r="L155" s="12"/>
    </row>
    <row r="156" spans="1:12" ht="16" x14ac:dyDescent="0.2">
      <c r="A156" s="7"/>
      <c r="B156" s="7"/>
      <c r="G156" s="15">
        <v>45404</v>
      </c>
      <c r="H156" s="16">
        <v>0.79166666666666663</v>
      </c>
      <c r="I156" s="17">
        <v>55.93</v>
      </c>
      <c r="J156" s="17">
        <v>21.76</v>
      </c>
      <c r="K156" s="17">
        <v>458.1</v>
      </c>
      <c r="L156" s="12"/>
    </row>
    <row r="157" spans="1:12" ht="16" x14ac:dyDescent="0.2">
      <c r="A157" s="7"/>
      <c r="B157" s="7"/>
      <c r="G157" s="15">
        <v>45404</v>
      </c>
      <c r="H157" s="16">
        <v>0.83333333333333337</v>
      </c>
      <c r="I157" s="17">
        <v>57.16</v>
      </c>
      <c r="J157" s="17">
        <v>20.62</v>
      </c>
      <c r="K157" s="17">
        <v>467.45</v>
      </c>
      <c r="L157" s="12"/>
    </row>
    <row r="158" spans="1:12" ht="16" x14ac:dyDescent="0.2">
      <c r="A158" s="7"/>
      <c r="B158" s="7"/>
      <c r="G158" s="15">
        <v>45404</v>
      </c>
      <c r="H158" s="16">
        <v>0.875</v>
      </c>
      <c r="I158" s="17">
        <v>58.15</v>
      </c>
      <c r="J158" s="17">
        <v>19.88</v>
      </c>
      <c r="K158" s="17">
        <v>473.92</v>
      </c>
      <c r="L158" s="12"/>
    </row>
    <row r="159" spans="1:12" ht="16" x14ac:dyDescent="0.2">
      <c r="A159" s="7"/>
      <c r="B159" s="7"/>
      <c r="G159" s="15">
        <v>45404</v>
      </c>
      <c r="H159" s="16">
        <v>0.91666666666666663</v>
      </c>
      <c r="I159" s="17">
        <v>59.11</v>
      </c>
      <c r="J159" s="17">
        <v>19.39</v>
      </c>
      <c r="K159" s="17">
        <v>476.23</v>
      </c>
      <c r="L159" s="12"/>
    </row>
    <row r="160" spans="1:12" ht="16" x14ac:dyDescent="0.2">
      <c r="A160" s="7"/>
      <c r="B160" s="7"/>
      <c r="G160" s="15">
        <v>45404</v>
      </c>
      <c r="H160" s="16">
        <v>0.95833333333333337</v>
      </c>
      <c r="I160" s="17">
        <v>59.96</v>
      </c>
      <c r="J160" s="17">
        <v>18.920000000000002</v>
      </c>
      <c r="K160" s="17">
        <v>475.44</v>
      </c>
      <c r="L160" s="12"/>
    </row>
    <row r="161" spans="1:12" ht="16" x14ac:dyDescent="0.2">
      <c r="A161" s="7"/>
      <c r="B161" s="7"/>
      <c r="G161" s="15">
        <v>45405</v>
      </c>
      <c r="H161" s="16">
        <v>0</v>
      </c>
      <c r="I161" s="17">
        <v>62</v>
      </c>
      <c r="J161" s="17">
        <v>18.2</v>
      </c>
      <c r="K161" s="17">
        <v>512.21</v>
      </c>
      <c r="L161" s="12"/>
    </row>
    <row r="162" spans="1:12" ht="16" x14ac:dyDescent="0.2">
      <c r="A162" s="7"/>
      <c r="B162" s="7"/>
      <c r="G162" s="15">
        <v>45405</v>
      </c>
      <c r="H162" s="16">
        <v>4.1666666666666664E-2</v>
      </c>
      <c r="I162" s="17">
        <v>62.04</v>
      </c>
      <c r="J162" s="17">
        <v>18.02</v>
      </c>
      <c r="K162" s="17">
        <v>500.85</v>
      </c>
      <c r="L162" s="12"/>
    </row>
    <row r="163" spans="1:12" ht="16" x14ac:dyDescent="0.2">
      <c r="A163" s="7"/>
      <c r="B163" s="7"/>
      <c r="G163" s="15">
        <v>45405</v>
      </c>
      <c r="H163" s="16">
        <v>8.3333333333333329E-2</v>
      </c>
      <c r="I163" s="17">
        <v>62.42</v>
      </c>
      <c r="J163" s="17">
        <v>17.829999999999998</v>
      </c>
      <c r="K163" s="17">
        <v>501.04</v>
      </c>
      <c r="L163" s="12"/>
    </row>
    <row r="164" spans="1:12" ht="16" x14ac:dyDescent="0.2">
      <c r="A164" s="7"/>
      <c r="B164" s="7"/>
      <c r="G164" s="15">
        <v>45405</v>
      </c>
      <c r="H164" s="16">
        <v>0.125</v>
      </c>
      <c r="I164" s="17">
        <v>62.7</v>
      </c>
      <c r="J164" s="17">
        <v>17.5</v>
      </c>
      <c r="K164" s="17">
        <v>499.4</v>
      </c>
      <c r="L164" s="12"/>
    </row>
    <row r="165" spans="1:12" ht="16" x14ac:dyDescent="0.2">
      <c r="A165" s="7"/>
      <c r="B165" s="7"/>
      <c r="G165" s="15">
        <v>45405</v>
      </c>
      <c r="H165" s="16">
        <v>0.16666666666666666</v>
      </c>
      <c r="I165" s="17">
        <v>62.71</v>
      </c>
      <c r="J165" s="17">
        <v>17.34</v>
      </c>
      <c r="K165" s="17">
        <v>497.39</v>
      </c>
      <c r="L165" s="12"/>
    </row>
    <row r="166" spans="1:12" ht="16" x14ac:dyDescent="0.2">
      <c r="A166" s="7"/>
      <c r="B166" s="7"/>
      <c r="G166" s="15">
        <v>45405</v>
      </c>
      <c r="H166" s="16">
        <v>0.20833333333333334</v>
      </c>
      <c r="I166" s="17">
        <v>62.13</v>
      </c>
      <c r="J166" s="17">
        <v>17.91</v>
      </c>
      <c r="K166" s="17">
        <v>502.74</v>
      </c>
      <c r="L166" s="12"/>
    </row>
    <row r="167" spans="1:12" ht="16" x14ac:dyDescent="0.2">
      <c r="A167" s="7"/>
      <c r="B167" s="7"/>
      <c r="G167" s="15">
        <v>45405</v>
      </c>
      <c r="H167" s="16">
        <v>0.25</v>
      </c>
      <c r="I167" s="17">
        <v>59.77</v>
      </c>
      <c r="J167" s="17">
        <v>23.83</v>
      </c>
      <c r="K167" s="17">
        <v>479.51</v>
      </c>
      <c r="L167" s="12"/>
    </row>
    <row r="168" spans="1:12" ht="16" x14ac:dyDescent="0.2">
      <c r="A168" s="7"/>
      <c r="B168" s="7"/>
      <c r="G168" s="15">
        <v>45405</v>
      </c>
      <c r="H168" s="16">
        <v>0.29166666666666669</v>
      </c>
      <c r="I168" s="17">
        <v>56.28</v>
      </c>
      <c r="J168" s="17">
        <v>26.26</v>
      </c>
      <c r="K168" s="17">
        <v>464.86</v>
      </c>
      <c r="L168" s="12"/>
    </row>
    <row r="169" spans="1:12" ht="16" x14ac:dyDescent="0.2">
      <c r="A169" s="7"/>
      <c r="B169" s="7"/>
      <c r="G169" s="15">
        <v>45405</v>
      </c>
      <c r="H169" s="16">
        <v>0.33333333333333331</v>
      </c>
      <c r="I169" s="17">
        <v>54.21</v>
      </c>
      <c r="J169" s="17">
        <v>24.48</v>
      </c>
      <c r="K169" s="17">
        <v>459.03</v>
      </c>
      <c r="L169" s="12"/>
    </row>
    <row r="170" spans="1:12" ht="16" x14ac:dyDescent="0.2">
      <c r="A170" s="7"/>
      <c r="B170" s="7"/>
      <c r="G170" s="15">
        <v>45405</v>
      </c>
      <c r="H170" s="16">
        <v>0.375</v>
      </c>
      <c r="I170" s="17">
        <v>48.59</v>
      </c>
      <c r="J170" s="17">
        <v>31.08</v>
      </c>
      <c r="K170" s="17">
        <v>454.44</v>
      </c>
      <c r="L170" s="12"/>
    </row>
    <row r="171" spans="1:12" ht="16" x14ac:dyDescent="0.2">
      <c r="A171" s="7"/>
      <c r="B171" s="7"/>
      <c r="G171" s="15">
        <v>45405</v>
      </c>
      <c r="H171" s="16">
        <v>0.41666666666666669</v>
      </c>
      <c r="I171" s="17">
        <v>47.19</v>
      </c>
      <c r="J171" s="17">
        <v>30</v>
      </c>
      <c r="K171" s="17">
        <v>442.42</v>
      </c>
      <c r="L171" s="12"/>
    </row>
    <row r="172" spans="1:12" ht="16" x14ac:dyDescent="0.2">
      <c r="A172" s="7"/>
      <c r="B172" s="7"/>
      <c r="G172" s="15">
        <v>45405</v>
      </c>
      <c r="H172" s="16">
        <v>0.45833333333333331</v>
      </c>
      <c r="I172" s="17">
        <v>45.15</v>
      </c>
      <c r="J172" s="17">
        <v>31.79</v>
      </c>
      <c r="K172" s="17">
        <v>446.04</v>
      </c>
      <c r="L172" s="12"/>
    </row>
    <row r="173" spans="1:12" ht="16" x14ac:dyDescent="0.2">
      <c r="A173" s="7"/>
      <c r="B173" s="7"/>
      <c r="G173" s="15">
        <v>45405</v>
      </c>
      <c r="H173" s="16">
        <v>0.5</v>
      </c>
      <c r="I173" s="17">
        <v>44.84</v>
      </c>
      <c r="J173" s="17">
        <v>30.83</v>
      </c>
      <c r="K173" s="17">
        <v>435.23</v>
      </c>
      <c r="L173" s="12"/>
    </row>
    <row r="174" spans="1:12" ht="16" x14ac:dyDescent="0.2">
      <c r="A174" s="7"/>
      <c r="B174" s="7"/>
      <c r="G174" s="15">
        <v>45405</v>
      </c>
      <c r="H174" s="16">
        <v>0.54166666666666663</v>
      </c>
      <c r="I174" s="17">
        <v>45.5</v>
      </c>
      <c r="J174" s="17">
        <v>30.34</v>
      </c>
      <c r="K174" s="17">
        <v>421.03</v>
      </c>
      <c r="L174" s="12"/>
    </row>
    <row r="175" spans="1:12" ht="16" x14ac:dyDescent="0.2">
      <c r="A175" s="7"/>
      <c r="B175" s="7"/>
      <c r="G175" s="15">
        <v>45405</v>
      </c>
      <c r="H175" s="16">
        <v>0.58333333333333337</v>
      </c>
      <c r="I175" s="17">
        <v>45.63</v>
      </c>
      <c r="J175" s="17">
        <v>29.8</v>
      </c>
      <c r="K175" s="17">
        <v>419.25</v>
      </c>
      <c r="L175" s="12"/>
    </row>
    <row r="176" spans="1:12" ht="16" x14ac:dyDescent="0.2">
      <c r="A176" s="7"/>
      <c r="B176" s="7"/>
      <c r="G176" s="15">
        <v>45405</v>
      </c>
      <c r="H176" s="16">
        <v>0.625</v>
      </c>
      <c r="I176" s="17">
        <v>42.85</v>
      </c>
      <c r="J176" s="17">
        <v>34.79</v>
      </c>
      <c r="K176" s="17">
        <v>425.13</v>
      </c>
      <c r="L176" s="12"/>
    </row>
    <row r="177" spans="1:12" ht="16" x14ac:dyDescent="0.2">
      <c r="A177" s="7"/>
      <c r="B177" s="7"/>
      <c r="G177" s="15">
        <v>45405</v>
      </c>
      <c r="H177" s="16">
        <v>0.66666666666666663</v>
      </c>
      <c r="I177" s="17">
        <v>45.11</v>
      </c>
      <c r="J177" s="17">
        <v>27.73</v>
      </c>
      <c r="K177" s="17">
        <v>416.28</v>
      </c>
      <c r="L177" s="12"/>
    </row>
    <row r="178" spans="1:12" ht="16" x14ac:dyDescent="0.2">
      <c r="A178" s="7"/>
      <c r="B178" s="7"/>
      <c r="G178" s="15">
        <v>45405</v>
      </c>
      <c r="H178" s="16">
        <v>0.70833333333333337</v>
      </c>
      <c r="I178" s="17">
        <v>50.78</v>
      </c>
      <c r="J178" s="17">
        <v>23.21</v>
      </c>
      <c r="K178" s="17">
        <v>425.22</v>
      </c>
      <c r="L178" s="12"/>
    </row>
    <row r="179" spans="1:12" ht="16" x14ac:dyDescent="0.2">
      <c r="A179" s="7"/>
      <c r="B179" s="7"/>
      <c r="G179" s="15">
        <v>45405</v>
      </c>
      <c r="H179" s="16">
        <v>0.75</v>
      </c>
      <c r="I179" s="17">
        <v>52.74</v>
      </c>
      <c r="J179" s="17">
        <v>22.27</v>
      </c>
      <c r="K179" s="17">
        <v>430.28</v>
      </c>
      <c r="L179" s="12"/>
    </row>
    <row r="180" spans="1:12" ht="16" x14ac:dyDescent="0.2">
      <c r="A180" s="7"/>
      <c r="B180" s="7"/>
      <c r="G180" s="15">
        <v>45405</v>
      </c>
      <c r="H180" s="16">
        <v>0.79166666666666663</v>
      </c>
      <c r="I180" s="17">
        <v>53.5</v>
      </c>
      <c r="J180" s="17">
        <v>24.29</v>
      </c>
      <c r="K180" s="17">
        <v>432.28</v>
      </c>
      <c r="L180" s="12"/>
    </row>
    <row r="181" spans="1:12" ht="16" x14ac:dyDescent="0.2">
      <c r="A181" s="7"/>
      <c r="B181" s="7"/>
      <c r="G181" s="15">
        <v>45405</v>
      </c>
      <c r="H181" s="16">
        <v>0.83333333333333337</v>
      </c>
      <c r="I181" s="17">
        <v>55.34</v>
      </c>
      <c r="J181" s="17">
        <v>23.42</v>
      </c>
      <c r="K181" s="17">
        <v>440.06</v>
      </c>
      <c r="L181" s="12"/>
    </row>
    <row r="182" spans="1:12" ht="16" x14ac:dyDescent="0.2">
      <c r="A182" s="7"/>
      <c r="B182" s="7"/>
      <c r="G182" s="15">
        <v>45405</v>
      </c>
      <c r="H182" s="16">
        <v>0.875</v>
      </c>
      <c r="I182" s="17">
        <v>56.89</v>
      </c>
      <c r="J182" s="17">
        <v>22.85</v>
      </c>
      <c r="K182" s="17">
        <v>444.95</v>
      </c>
      <c r="L182" s="12"/>
    </row>
    <row r="183" spans="1:12" ht="16" x14ac:dyDescent="0.2">
      <c r="A183" s="7"/>
      <c r="B183" s="7"/>
      <c r="G183" s="15">
        <v>45405</v>
      </c>
      <c r="H183" s="16">
        <v>0.91666666666666663</v>
      </c>
      <c r="I183" s="17">
        <v>57.97</v>
      </c>
      <c r="J183" s="17">
        <v>22.31</v>
      </c>
      <c r="K183" s="17">
        <v>447.62</v>
      </c>
      <c r="L183" s="12"/>
    </row>
    <row r="184" spans="1:12" ht="16" x14ac:dyDescent="0.2">
      <c r="A184" s="7"/>
      <c r="B184" s="7"/>
      <c r="G184" s="15">
        <v>45405</v>
      </c>
      <c r="H184" s="16">
        <v>0.95833333333333337</v>
      </c>
      <c r="I184" s="17">
        <v>58.65</v>
      </c>
      <c r="J184" s="17">
        <v>21.83</v>
      </c>
      <c r="K184" s="17">
        <v>451.69</v>
      </c>
      <c r="L184" s="12"/>
    </row>
    <row r="185" spans="1:12" ht="16" x14ac:dyDescent="0.2">
      <c r="A185" s="7"/>
      <c r="B185" s="7"/>
      <c r="G185" s="15">
        <v>45406</v>
      </c>
      <c r="H185" s="16">
        <v>0</v>
      </c>
      <c r="I185" s="17">
        <v>59.17</v>
      </c>
      <c r="J185" s="17">
        <v>21.34</v>
      </c>
      <c r="K185" s="17">
        <v>448.74</v>
      </c>
      <c r="L185" s="12"/>
    </row>
    <row r="186" spans="1:12" ht="16" x14ac:dyDescent="0.2">
      <c r="A186" s="7"/>
      <c r="B186" s="7"/>
      <c r="G186" s="15">
        <v>45406</v>
      </c>
      <c r="H186" s="16">
        <v>4.1666666666666664E-2</v>
      </c>
      <c r="I186" s="17">
        <v>59.36</v>
      </c>
      <c r="J186" s="17">
        <v>21.11</v>
      </c>
      <c r="K186" s="17">
        <v>449.14</v>
      </c>
      <c r="L186" s="12"/>
    </row>
    <row r="187" spans="1:12" ht="16" x14ac:dyDescent="0.2">
      <c r="A187" s="7"/>
      <c r="B187" s="7"/>
      <c r="G187" s="15">
        <v>45406</v>
      </c>
      <c r="H187" s="16">
        <v>8.3333333333333329E-2</v>
      </c>
      <c r="I187" s="17">
        <v>59.52</v>
      </c>
      <c r="J187" s="17">
        <v>21.02</v>
      </c>
      <c r="K187" s="17">
        <v>446.23</v>
      </c>
      <c r="L187" s="12"/>
    </row>
    <row r="188" spans="1:12" ht="16" x14ac:dyDescent="0.2">
      <c r="A188" s="7"/>
      <c r="B188" s="7"/>
      <c r="G188" s="15">
        <v>45406</v>
      </c>
      <c r="H188" s="16">
        <v>0.125</v>
      </c>
      <c r="I188" s="17">
        <v>59.43</v>
      </c>
      <c r="J188" s="17">
        <v>20.53</v>
      </c>
      <c r="K188" s="17">
        <v>447.12</v>
      </c>
      <c r="L188" s="12"/>
    </row>
    <row r="189" spans="1:12" ht="16" x14ac:dyDescent="0.2">
      <c r="A189" s="7"/>
      <c r="B189" s="7"/>
      <c r="G189" s="15">
        <v>45406</v>
      </c>
      <c r="H189" s="16">
        <v>0.16666666666666666</v>
      </c>
      <c r="I189" s="17">
        <v>59.47</v>
      </c>
      <c r="J189" s="17">
        <v>19.89</v>
      </c>
      <c r="K189" s="17">
        <v>452.28</v>
      </c>
      <c r="L189" s="12"/>
    </row>
    <row r="190" spans="1:12" ht="16" x14ac:dyDescent="0.2">
      <c r="A190" s="7"/>
      <c r="B190" s="7"/>
      <c r="G190" s="15">
        <v>45406</v>
      </c>
      <c r="H190" s="16">
        <v>0.20833333333333334</v>
      </c>
      <c r="I190" s="17">
        <v>59.22</v>
      </c>
      <c r="J190" s="17">
        <v>20.190000000000001</v>
      </c>
      <c r="K190" s="17">
        <v>460.57</v>
      </c>
      <c r="L190" s="12"/>
    </row>
    <row r="191" spans="1:12" ht="16" x14ac:dyDescent="0.2">
      <c r="A191" s="7"/>
      <c r="B191" s="7"/>
      <c r="G191" s="15">
        <v>45406</v>
      </c>
      <c r="H191" s="16">
        <v>0.25</v>
      </c>
      <c r="I191" s="17">
        <v>57.61</v>
      </c>
      <c r="J191" s="17">
        <v>25.17</v>
      </c>
      <c r="K191" s="17">
        <v>455.69</v>
      </c>
      <c r="L191" s="12"/>
    </row>
    <row r="192" spans="1:12" ht="16" x14ac:dyDescent="0.2">
      <c r="A192" s="7"/>
      <c r="B192" s="7"/>
      <c r="G192" s="15">
        <v>45406</v>
      </c>
      <c r="H192" s="16">
        <v>0.29166666666666669</v>
      </c>
      <c r="I192" s="17">
        <v>53.92</v>
      </c>
      <c r="J192" s="17">
        <v>25.89</v>
      </c>
      <c r="K192" s="17">
        <v>445.53</v>
      </c>
      <c r="L192" s="12"/>
    </row>
    <row r="193" spans="1:12" ht="16" x14ac:dyDescent="0.2">
      <c r="A193" s="7"/>
      <c r="B193" s="7"/>
      <c r="G193" s="15">
        <v>45406</v>
      </c>
      <c r="H193" s="16">
        <v>0.33333333333333331</v>
      </c>
      <c r="I193" s="17">
        <v>50.35</v>
      </c>
      <c r="J193" s="17">
        <v>27.64</v>
      </c>
      <c r="K193" s="17">
        <v>440.93</v>
      </c>
      <c r="L193" s="12"/>
    </row>
    <row r="194" spans="1:12" ht="16" x14ac:dyDescent="0.2">
      <c r="A194" s="7"/>
      <c r="B194" s="7"/>
      <c r="G194" s="15">
        <v>45406</v>
      </c>
      <c r="H194" s="16">
        <v>0.375</v>
      </c>
      <c r="I194" s="17">
        <v>46.01</v>
      </c>
      <c r="J194" s="17">
        <v>33.700000000000003</v>
      </c>
      <c r="K194" s="17">
        <v>465.32</v>
      </c>
      <c r="L194" s="12"/>
    </row>
    <row r="195" spans="1:12" ht="16" x14ac:dyDescent="0.2">
      <c r="A195" s="7"/>
      <c r="B195" s="7"/>
      <c r="G195" s="15">
        <v>45406</v>
      </c>
      <c r="H195" s="16">
        <v>0.41666666666666669</v>
      </c>
      <c r="I195" s="17">
        <v>43.51</v>
      </c>
      <c r="J195" s="17">
        <v>34.4</v>
      </c>
      <c r="K195" s="17">
        <v>469.54</v>
      </c>
      <c r="L195" s="12"/>
    </row>
    <row r="196" spans="1:12" ht="16" x14ac:dyDescent="0.2">
      <c r="A196" s="7"/>
      <c r="B196" s="7"/>
      <c r="G196" s="15">
        <v>45406</v>
      </c>
      <c r="H196" s="16">
        <v>0.45833333333333331</v>
      </c>
      <c r="I196" s="17">
        <v>41.73</v>
      </c>
      <c r="J196" s="17">
        <v>34.840000000000003</v>
      </c>
      <c r="K196" s="17">
        <v>458.71</v>
      </c>
      <c r="L196" s="12"/>
    </row>
    <row r="197" spans="1:12" ht="16" x14ac:dyDescent="0.2">
      <c r="A197" s="7"/>
      <c r="B197" s="7"/>
      <c r="G197" s="15">
        <v>45406</v>
      </c>
      <c r="H197" s="16">
        <v>0.5</v>
      </c>
      <c r="I197" s="17">
        <v>41.48</v>
      </c>
      <c r="J197" s="17">
        <v>33.35</v>
      </c>
      <c r="K197" s="17">
        <v>441.96</v>
      </c>
      <c r="L197" s="12"/>
    </row>
    <row r="198" spans="1:12" ht="16" x14ac:dyDescent="0.2">
      <c r="A198" s="7"/>
      <c r="B198" s="7"/>
      <c r="G198" s="15">
        <v>45406</v>
      </c>
      <c r="H198" s="16">
        <v>0.54166666666666663</v>
      </c>
      <c r="I198" s="17">
        <v>41.65</v>
      </c>
      <c r="J198" s="17">
        <v>31.7</v>
      </c>
      <c r="K198" s="17">
        <v>425.19</v>
      </c>
      <c r="L198" s="12"/>
    </row>
    <row r="199" spans="1:12" ht="16" x14ac:dyDescent="0.2">
      <c r="A199" s="7"/>
      <c r="B199" s="7"/>
      <c r="G199" s="15">
        <v>45406</v>
      </c>
      <c r="H199" s="16">
        <v>0.58333333333333337</v>
      </c>
      <c r="I199" s="17">
        <v>42.44</v>
      </c>
      <c r="J199" s="17">
        <v>30.86</v>
      </c>
      <c r="K199" s="17">
        <v>413.91</v>
      </c>
      <c r="L199" s="12"/>
    </row>
    <row r="200" spans="1:12" ht="16" x14ac:dyDescent="0.2">
      <c r="A200" s="7"/>
      <c r="B200" s="7"/>
      <c r="G200" s="15">
        <v>45406</v>
      </c>
      <c r="H200" s="16">
        <v>0.625</v>
      </c>
      <c r="I200" s="17">
        <v>43.66</v>
      </c>
      <c r="J200" s="17">
        <v>29.09</v>
      </c>
      <c r="K200" s="17">
        <v>407.4</v>
      </c>
      <c r="L200" s="12"/>
    </row>
    <row r="201" spans="1:12" ht="16" x14ac:dyDescent="0.2">
      <c r="A201" s="7"/>
      <c r="B201" s="7"/>
      <c r="G201" s="15">
        <v>45406</v>
      </c>
      <c r="H201" s="16">
        <v>0.66666666666666663</v>
      </c>
      <c r="I201" s="17">
        <v>46.45</v>
      </c>
      <c r="J201" s="17">
        <v>25.37</v>
      </c>
      <c r="K201" s="17">
        <v>412.64</v>
      </c>
      <c r="L201" s="12"/>
    </row>
    <row r="202" spans="1:12" ht="16" x14ac:dyDescent="0.2">
      <c r="A202" s="7"/>
      <c r="B202" s="7"/>
      <c r="G202" s="15">
        <v>45406</v>
      </c>
      <c r="H202" s="16">
        <v>0.70833333333333337</v>
      </c>
      <c r="I202" s="17">
        <v>47.95</v>
      </c>
      <c r="J202" s="17">
        <v>25.95</v>
      </c>
      <c r="K202" s="17">
        <v>420.23</v>
      </c>
      <c r="L202" s="12"/>
    </row>
    <row r="203" spans="1:12" ht="16" x14ac:dyDescent="0.2">
      <c r="A203" s="7"/>
      <c r="B203" s="7"/>
      <c r="G203" s="15">
        <v>45406</v>
      </c>
      <c r="H203" s="16">
        <v>0.75</v>
      </c>
      <c r="I203" s="17">
        <v>48.3</v>
      </c>
      <c r="J203" s="17">
        <v>27.81</v>
      </c>
      <c r="K203" s="17">
        <v>429.2</v>
      </c>
      <c r="L203" s="12"/>
    </row>
    <row r="204" spans="1:12" ht="16" x14ac:dyDescent="0.2">
      <c r="A204" s="7"/>
      <c r="B204" s="7"/>
      <c r="G204" s="15">
        <v>45406</v>
      </c>
      <c r="H204" s="16">
        <v>0.79166666666666663</v>
      </c>
      <c r="I204" s="17">
        <v>49.49</v>
      </c>
      <c r="J204" s="17">
        <v>27.44</v>
      </c>
      <c r="K204" s="17">
        <v>437.22</v>
      </c>
      <c r="L204" s="12"/>
    </row>
    <row r="205" spans="1:12" ht="16" x14ac:dyDescent="0.2">
      <c r="A205" s="7"/>
      <c r="B205" s="7"/>
      <c r="G205" s="15">
        <v>45406</v>
      </c>
      <c r="H205" s="16">
        <v>0.83333333333333337</v>
      </c>
      <c r="I205" s="17">
        <v>50.68</v>
      </c>
      <c r="J205" s="17">
        <v>26.14</v>
      </c>
      <c r="K205" s="17">
        <v>442.46</v>
      </c>
      <c r="L205" s="12"/>
    </row>
    <row r="206" spans="1:12" ht="16" x14ac:dyDescent="0.2">
      <c r="A206" s="7"/>
      <c r="B206" s="7"/>
      <c r="G206" s="15">
        <v>45406</v>
      </c>
      <c r="H206" s="16">
        <v>0.875</v>
      </c>
      <c r="I206" s="17">
        <v>50.75</v>
      </c>
      <c r="J206" s="17">
        <v>25.97</v>
      </c>
      <c r="K206" s="17">
        <v>447.06</v>
      </c>
      <c r="L206" s="12"/>
    </row>
    <row r="207" spans="1:12" ht="16" x14ac:dyDescent="0.2">
      <c r="A207" s="7"/>
      <c r="B207" s="7"/>
      <c r="G207" s="15">
        <v>45406</v>
      </c>
      <c r="H207" s="16">
        <v>0.91666666666666663</v>
      </c>
      <c r="I207" s="17">
        <v>51.96</v>
      </c>
      <c r="J207" s="17">
        <v>24.84</v>
      </c>
      <c r="K207" s="17">
        <v>451.87</v>
      </c>
      <c r="L207" s="12"/>
    </row>
    <row r="208" spans="1:12" ht="16" x14ac:dyDescent="0.2">
      <c r="A208" s="7"/>
      <c r="B208" s="7"/>
      <c r="G208" s="15">
        <v>45406</v>
      </c>
      <c r="H208" s="16">
        <v>0.95833333333333337</v>
      </c>
      <c r="I208" s="17">
        <v>50.91</v>
      </c>
      <c r="J208" s="17">
        <v>26.16</v>
      </c>
      <c r="K208" s="17">
        <v>459.97</v>
      </c>
      <c r="L208" s="12"/>
    </row>
    <row r="209" spans="1:12" ht="16" x14ac:dyDescent="0.2">
      <c r="A209" s="7"/>
      <c r="B209" s="7"/>
      <c r="G209" s="15">
        <v>45407</v>
      </c>
      <c r="H209" s="16">
        <v>0</v>
      </c>
      <c r="I209" s="17">
        <v>49.1</v>
      </c>
      <c r="J209" s="17">
        <v>25.86</v>
      </c>
      <c r="K209" s="17">
        <v>452.41</v>
      </c>
      <c r="L209" s="12"/>
    </row>
    <row r="210" spans="1:12" ht="16" x14ac:dyDescent="0.2">
      <c r="A210" s="7"/>
      <c r="B210" s="7"/>
      <c r="G210" s="15">
        <v>45407</v>
      </c>
      <c r="H210" s="16">
        <v>4.1666666666666664E-2</v>
      </c>
      <c r="I210" s="17">
        <v>49.34</v>
      </c>
      <c r="J210" s="17">
        <v>24.19</v>
      </c>
      <c r="K210" s="17">
        <v>441.91</v>
      </c>
      <c r="L210" s="12"/>
    </row>
    <row r="211" spans="1:12" ht="16" x14ac:dyDescent="0.2">
      <c r="A211" s="7"/>
      <c r="B211" s="7"/>
      <c r="G211" s="15">
        <v>45407</v>
      </c>
      <c r="H211" s="16">
        <v>8.3333333333333329E-2</v>
      </c>
      <c r="I211" s="17">
        <v>50.74</v>
      </c>
      <c r="J211" s="17">
        <v>22.46</v>
      </c>
      <c r="K211" s="17">
        <v>447.56</v>
      </c>
      <c r="L211" s="12"/>
    </row>
    <row r="212" spans="1:12" ht="16" x14ac:dyDescent="0.2">
      <c r="A212" s="7"/>
      <c r="B212" s="7"/>
      <c r="G212" s="15">
        <v>45407</v>
      </c>
      <c r="H212" s="16">
        <v>0.125</v>
      </c>
      <c r="I212" s="17">
        <v>51.83</v>
      </c>
      <c r="J212" s="17">
        <v>22.14</v>
      </c>
      <c r="K212" s="17">
        <v>458.31</v>
      </c>
      <c r="L212" s="12"/>
    </row>
    <row r="213" spans="1:12" ht="16" x14ac:dyDescent="0.2">
      <c r="A213" s="7"/>
      <c r="B213" s="7"/>
      <c r="G213" s="15">
        <v>45407</v>
      </c>
      <c r="H213" s="16">
        <v>0.16666666666666666</v>
      </c>
      <c r="I213" s="17">
        <v>53.02</v>
      </c>
      <c r="J213" s="17">
        <v>21.9</v>
      </c>
      <c r="K213" s="17">
        <v>470.21</v>
      </c>
      <c r="L213" s="12"/>
    </row>
    <row r="214" spans="1:12" ht="16" x14ac:dyDescent="0.2">
      <c r="A214" s="7"/>
      <c r="B214" s="7"/>
      <c r="G214" s="15">
        <v>45407</v>
      </c>
      <c r="H214" s="16">
        <v>0.20833333333333334</v>
      </c>
      <c r="I214" s="17">
        <v>54.2</v>
      </c>
      <c r="J214" s="17">
        <v>22.14</v>
      </c>
      <c r="K214" s="17">
        <v>484.55</v>
      </c>
      <c r="L214" s="12"/>
    </row>
    <row r="215" spans="1:12" ht="16" x14ac:dyDescent="0.2">
      <c r="A215" s="7"/>
      <c r="B215" s="7"/>
      <c r="G215" s="15">
        <v>45407</v>
      </c>
      <c r="H215" s="16">
        <v>0.25</v>
      </c>
      <c r="I215" s="17">
        <v>54.73</v>
      </c>
      <c r="J215" s="17">
        <v>24.1</v>
      </c>
      <c r="K215" s="17">
        <v>495.99</v>
      </c>
      <c r="L215" s="12"/>
    </row>
    <row r="216" spans="1:12" ht="16" x14ac:dyDescent="0.2">
      <c r="A216" s="7"/>
      <c r="B216" s="7"/>
      <c r="G216" s="15">
        <v>45407</v>
      </c>
      <c r="H216" s="16">
        <v>0.29166666666666669</v>
      </c>
      <c r="I216" s="17">
        <v>54.1</v>
      </c>
      <c r="J216" s="17">
        <v>25.14</v>
      </c>
      <c r="K216" s="17">
        <v>497.53</v>
      </c>
      <c r="L216" s="12"/>
    </row>
    <row r="217" spans="1:12" ht="16" x14ac:dyDescent="0.2">
      <c r="A217" s="7"/>
      <c r="B217" s="7"/>
      <c r="G217" s="15">
        <v>45407</v>
      </c>
      <c r="H217" s="16">
        <v>0.33333333333333331</v>
      </c>
      <c r="I217" s="17">
        <v>53.28</v>
      </c>
      <c r="J217" s="17">
        <v>25.55</v>
      </c>
      <c r="K217" s="17">
        <v>480.98</v>
      </c>
      <c r="L217" s="12"/>
    </row>
    <row r="218" spans="1:12" ht="16" x14ac:dyDescent="0.2">
      <c r="A218" s="7"/>
      <c r="B218" s="7"/>
      <c r="G218" s="15">
        <v>45407</v>
      </c>
      <c r="H218" s="16">
        <v>0.375</v>
      </c>
      <c r="I218" s="17">
        <v>54.29</v>
      </c>
      <c r="J218" s="17">
        <v>25.8</v>
      </c>
      <c r="K218" s="17">
        <v>467.86</v>
      </c>
      <c r="L218" s="12"/>
    </row>
    <row r="219" spans="1:12" ht="16" x14ac:dyDescent="0.2">
      <c r="A219" s="7"/>
      <c r="B219" s="7"/>
      <c r="G219" s="15">
        <v>45407</v>
      </c>
      <c r="H219" s="16">
        <v>0.41666666666666669</v>
      </c>
      <c r="I219" s="17">
        <v>54.35</v>
      </c>
      <c r="J219" s="17">
        <v>25.93</v>
      </c>
      <c r="K219" s="17">
        <v>457.45</v>
      </c>
      <c r="L219" s="12"/>
    </row>
    <row r="220" spans="1:12" ht="16" x14ac:dyDescent="0.2">
      <c r="A220" s="7"/>
      <c r="B220" s="7"/>
      <c r="G220" s="15">
        <v>45407</v>
      </c>
      <c r="H220" s="16">
        <v>0.45833333333333331</v>
      </c>
      <c r="I220" s="17">
        <v>54.54</v>
      </c>
      <c r="J220" s="17">
        <v>26.89</v>
      </c>
      <c r="K220" s="17">
        <v>448.54</v>
      </c>
      <c r="L220" s="12"/>
    </row>
    <row r="221" spans="1:12" ht="16" x14ac:dyDescent="0.2">
      <c r="A221" s="7"/>
      <c r="B221" s="7"/>
      <c r="G221" s="15">
        <v>45407</v>
      </c>
      <c r="H221" s="16">
        <v>0.5</v>
      </c>
      <c r="I221" s="17">
        <v>50.74</v>
      </c>
      <c r="J221" s="17">
        <v>29.91</v>
      </c>
      <c r="K221" s="17">
        <v>439.54</v>
      </c>
      <c r="L221" s="12"/>
    </row>
    <row r="222" spans="1:12" ht="16" x14ac:dyDescent="0.2">
      <c r="A222" s="7"/>
      <c r="B222" s="7"/>
      <c r="G222" s="15">
        <v>45407</v>
      </c>
      <c r="H222" s="16">
        <v>0.54166666666666663</v>
      </c>
      <c r="I222" s="17">
        <v>49.88</v>
      </c>
      <c r="J222" s="17">
        <v>29.57</v>
      </c>
      <c r="K222" s="17">
        <v>432.35</v>
      </c>
      <c r="L222" s="12"/>
    </row>
    <row r="223" spans="1:12" ht="16" x14ac:dyDescent="0.2">
      <c r="A223" s="7"/>
      <c r="B223" s="7"/>
      <c r="G223" s="15">
        <v>45407</v>
      </c>
      <c r="H223" s="16">
        <v>0.58333333333333337</v>
      </c>
      <c r="I223" s="17">
        <v>50.49</v>
      </c>
      <c r="J223" s="17">
        <v>29.39</v>
      </c>
      <c r="K223" s="17">
        <v>425.18</v>
      </c>
      <c r="L223" s="12"/>
    </row>
    <row r="224" spans="1:12" ht="16" x14ac:dyDescent="0.2">
      <c r="A224" s="7"/>
      <c r="B224" s="7"/>
      <c r="G224" s="15">
        <v>45407</v>
      </c>
      <c r="H224" s="16">
        <v>0.625</v>
      </c>
      <c r="I224" s="17">
        <v>52.98</v>
      </c>
      <c r="J224" s="17">
        <v>26.38</v>
      </c>
      <c r="K224" s="17">
        <v>424.57</v>
      </c>
      <c r="L224" s="12"/>
    </row>
    <row r="225" spans="1:12" ht="16" x14ac:dyDescent="0.2">
      <c r="A225" s="7"/>
      <c r="B225" s="7"/>
      <c r="G225" s="15">
        <v>45407</v>
      </c>
      <c r="H225" s="16">
        <v>0.66666666666666663</v>
      </c>
      <c r="I225" s="17">
        <v>56.77</v>
      </c>
      <c r="J225" s="17">
        <v>23.98</v>
      </c>
      <c r="K225" s="17">
        <v>427.73</v>
      </c>
      <c r="L225" s="12"/>
    </row>
    <row r="226" spans="1:12" ht="16" x14ac:dyDescent="0.2">
      <c r="A226" s="7"/>
      <c r="B226" s="7"/>
      <c r="G226" s="15">
        <v>45407</v>
      </c>
      <c r="H226" s="16">
        <v>0.70833333333333337</v>
      </c>
      <c r="I226" s="17">
        <v>57.78</v>
      </c>
      <c r="J226" s="17">
        <v>26.28</v>
      </c>
      <c r="K226" s="17">
        <v>434.22</v>
      </c>
      <c r="L226" s="12"/>
    </row>
    <row r="227" spans="1:12" ht="16" x14ac:dyDescent="0.2">
      <c r="A227" s="7"/>
      <c r="B227" s="7"/>
      <c r="G227" s="15">
        <v>45407</v>
      </c>
      <c r="H227" s="16">
        <v>0.75</v>
      </c>
      <c r="I227" s="17">
        <v>58.72</v>
      </c>
      <c r="J227" s="17">
        <v>24.7</v>
      </c>
      <c r="K227" s="17">
        <v>438.3</v>
      </c>
      <c r="L227" s="12"/>
    </row>
    <row r="228" spans="1:12" ht="16" x14ac:dyDescent="0.2">
      <c r="A228" s="7"/>
      <c r="B228" s="7"/>
      <c r="G228" s="15">
        <v>45407</v>
      </c>
      <c r="H228" s="16">
        <v>0.79166666666666663</v>
      </c>
      <c r="I228" s="17">
        <v>59.65</v>
      </c>
      <c r="J228" s="17">
        <v>23.44</v>
      </c>
      <c r="K228" s="17">
        <v>443.57</v>
      </c>
      <c r="L228" s="12"/>
    </row>
    <row r="229" spans="1:12" ht="16" x14ac:dyDescent="0.2">
      <c r="A229" s="7"/>
      <c r="B229" s="7"/>
      <c r="G229" s="15">
        <v>45407</v>
      </c>
      <c r="H229" s="16">
        <v>0.83333333333333337</v>
      </c>
      <c r="I229" s="17">
        <v>60.57</v>
      </c>
      <c r="J229" s="17">
        <v>22.74</v>
      </c>
      <c r="K229" s="17">
        <v>448.06</v>
      </c>
      <c r="L229" s="12"/>
    </row>
    <row r="230" spans="1:12" ht="16" x14ac:dyDescent="0.2">
      <c r="A230" s="7"/>
      <c r="B230" s="7"/>
      <c r="G230" s="15">
        <v>45407</v>
      </c>
      <c r="H230" s="16">
        <v>0.875</v>
      </c>
      <c r="I230" s="17">
        <v>61.19</v>
      </c>
      <c r="J230" s="17">
        <v>22.38</v>
      </c>
      <c r="K230" s="17">
        <v>451.38</v>
      </c>
      <c r="L230" s="12"/>
    </row>
    <row r="231" spans="1:12" ht="16" x14ac:dyDescent="0.2">
      <c r="A231" s="7"/>
      <c r="B231" s="7"/>
      <c r="G231" s="15">
        <v>45407</v>
      </c>
      <c r="H231" s="16">
        <v>0.91666666666666663</v>
      </c>
      <c r="I231" s="17">
        <v>61.8</v>
      </c>
      <c r="J231" s="17">
        <v>22.2</v>
      </c>
      <c r="K231" s="17">
        <v>456.98</v>
      </c>
      <c r="L231" s="12"/>
    </row>
    <row r="232" spans="1:12" ht="16" x14ac:dyDescent="0.2">
      <c r="A232" s="7"/>
      <c r="B232" s="7"/>
      <c r="G232" s="15">
        <v>45407</v>
      </c>
      <c r="H232" s="16">
        <v>0.95833333333333337</v>
      </c>
      <c r="I232" s="17">
        <v>62.49</v>
      </c>
      <c r="J232" s="17">
        <v>22.01</v>
      </c>
      <c r="K232" s="17">
        <v>459.33</v>
      </c>
      <c r="L232" s="12"/>
    </row>
    <row r="233" spans="1:12" ht="16" x14ac:dyDescent="0.2">
      <c r="A233" s="7"/>
      <c r="B233" s="7"/>
      <c r="G233" s="15">
        <v>45408</v>
      </c>
      <c r="H233" s="16">
        <v>4.1666666666666664E-2</v>
      </c>
      <c r="I233" s="17">
        <v>63.14</v>
      </c>
      <c r="J233" s="17">
        <v>21.7</v>
      </c>
      <c r="K233" s="17">
        <v>461.36</v>
      </c>
      <c r="L233" s="12"/>
    </row>
    <row r="234" spans="1:12" ht="16" x14ac:dyDescent="0.2">
      <c r="A234" s="7"/>
      <c r="B234" s="7"/>
      <c r="G234" s="15">
        <v>45408</v>
      </c>
      <c r="H234" s="16">
        <v>8.3333333333333329E-2</v>
      </c>
      <c r="I234" s="17">
        <v>63.55</v>
      </c>
      <c r="J234" s="17">
        <v>21.31</v>
      </c>
      <c r="K234" s="17">
        <v>464.6</v>
      </c>
      <c r="L234" s="12"/>
    </row>
    <row r="235" spans="1:12" ht="16" x14ac:dyDescent="0.2">
      <c r="A235" s="7"/>
      <c r="B235" s="7"/>
      <c r="G235" s="15">
        <v>45408</v>
      </c>
      <c r="H235" s="16">
        <v>0.125</v>
      </c>
      <c r="I235" s="17">
        <v>63.81</v>
      </c>
      <c r="J235" s="17">
        <v>20.309999999999999</v>
      </c>
      <c r="K235" s="17">
        <v>464.78</v>
      </c>
      <c r="L235" s="12"/>
    </row>
    <row r="236" spans="1:12" ht="16" x14ac:dyDescent="0.2">
      <c r="A236" s="7"/>
      <c r="B236" s="7"/>
      <c r="G236" s="15">
        <v>45408</v>
      </c>
      <c r="H236" s="16">
        <v>0.16666666666666666</v>
      </c>
      <c r="I236" s="17">
        <v>64.38</v>
      </c>
      <c r="J236" s="17">
        <v>19.45</v>
      </c>
      <c r="K236" s="17">
        <v>467.1</v>
      </c>
      <c r="L236" s="12"/>
    </row>
    <row r="237" spans="1:12" ht="16" x14ac:dyDescent="0.2">
      <c r="A237" s="7"/>
      <c r="B237" s="7"/>
      <c r="G237" s="15">
        <v>45408</v>
      </c>
      <c r="H237" s="16">
        <v>0.20833333333333334</v>
      </c>
      <c r="I237" s="17">
        <v>64.83</v>
      </c>
      <c r="J237" s="17">
        <v>18.97</v>
      </c>
      <c r="K237" s="17">
        <v>471.39</v>
      </c>
      <c r="L237" s="12"/>
    </row>
    <row r="238" spans="1:12" ht="16" x14ac:dyDescent="0.2">
      <c r="A238" s="7"/>
      <c r="B238" s="7"/>
      <c r="G238" s="15">
        <v>45408</v>
      </c>
      <c r="H238" s="16">
        <v>0.25</v>
      </c>
      <c r="I238" s="17">
        <v>65.16</v>
      </c>
      <c r="J238" s="17">
        <v>19.649999999999999</v>
      </c>
      <c r="K238" s="17">
        <v>473.73</v>
      </c>
      <c r="L238" s="12"/>
    </row>
    <row r="239" spans="1:12" ht="16" x14ac:dyDescent="0.2">
      <c r="A239" s="7"/>
      <c r="B239" s="7"/>
      <c r="G239" s="15">
        <v>45408</v>
      </c>
      <c r="H239" s="16">
        <v>0.29166666666666669</v>
      </c>
      <c r="I239" s="17">
        <v>64.87</v>
      </c>
      <c r="J239" s="17">
        <v>22.97</v>
      </c>
      <c r="K239" s="17">
        <v>468.55</v>
      </c>
      <c r="L239" s="12"/>
    </row>
    <row r="240" spans="1:12" ht="16" x14ac:dyDescent="0.2">
      <c r="A240" s="7"/>
      <c r="B240" s="7"/>
      <c r="G240" s="15">
        <v>45408</v>
      </c>
      <c r="H240" s="16">
        <v>0.33333333333333331</v>
      </c>
      <c r="I240" s="17">
        <v>63.76</v>
      </c>
      <c r="J240" s="17">
        <v>24.27</v>
      </c>
      <c r="K240" s="17">
        <v>462.94</v>
      </c>
      <c r="L240" s="12"/>
    </row>
    <row r="241" spans="1:12" ht="16" x14ac:dyDescent="0.2">
      <c r="A241" s="7"/>
      <c r="B241" s="7"/>
      <c r="G241" s="15">
        <v>45408</v>
      </c>
      <c r="H241" s="16">
        <v>0.375</v>
      </c>
      <c r="I241" s="17">
        <v>62.51</v>
      </c>
      <c r="J241" s="17">
        <v>25.74</v>
      </c>
      <c r="K241" s="17">
        <v>461.62</v>
      </c>
      <c r="L241" s="12"/>
    </row>
    <row r="242" spans="1:12" ht="16" x14ac:dyDescent="0.2">
      <c r="A242" s="7"/>
      <c r="B242" s="7"/>
      <c r="G242" s="15">
        <v>45408</v>
      </c>
      <c r="H242" s="16">
        <v>0.41666666666666669</v>
      </c>
      <c r="I242" s="17">
        <v>60.11</v>
      </c>
      <c r="J242" s="17">
        <v>23.95</v>
      </c>
      <c r="K242" s="17">
        <v>456.51</v>
      </c>
      <c r="L242" s="12"/>
    </row>
    <row r="243" spans="1:12" ht="16" x14ac:dyDescent="0.2">
      <c r="A243" s="7"/>
      <c r="B243" s="7"/>
      <c r="G243" s="15">
        <v>45408</v>
      </c>
      <c r="H243" s="16">
        <v>0.45833333333333331</v>
      </c>
      <c r="I243" s="17">
        <v>58.36</v>
      </c>
      <c r="J243" s="17">
        <v>23.51</v>
      </c>
      <c r="K243" s="17">
        <v>449.8</v>
      </c>
      <c r="L243" s="12"/>
    </row>
    <row r="244" spans="1:12" ht="16" x14ac:dyDescent="0.2">
      <c r="A244" s="7"/>
      <c r="B244" s="7"/>
      <c r="G244" s="15">
        <v>45408</v>
      </c>
      <c r="H244" s="16">
        <v>0.5</v>
      </c>
      <c r="I244" s="17">
        <v>56.71</v>
      </c>
      <c r="J244" s="17">
        <v>23.94</v>
      </c>
      <c r="K244" s="17">
        <v>445.23</v>
      </c>
      <c r="L244" s="12"/>
    </row>
    <row r="245" spans="1:12" ht="16" x14ac:dyDescent="0.2">
      <c r="A245" s="7"/>
      <c r="B245" s="7"/>
      <c r="G245" s="15">
        <v>45408</v>
      </c>
      <c r="H245" s="16">
        <v>0.54166666666666663</v>
      </c>
      <c r="I245" s="17">
        <v>55.91</v>
      </c>
      <c r="J245" s="17">
        <v>23.46</v>
      </c>
      <c r="K245" s="17">
        <v>438.71</v>
      </c>
      <c r="L245" s="12"/>
    </row>
    <row r="246" spans="1:12" ht="16" x14ac:dyDescent="0.2">
      <c r="A246" s="7"/>
      <c r="B246" s="7"/>
      <c r="G246" s="15">
        <v>45408</v>
      </c>
      <c r="H246" s="16">
        <v>0.58333333333333337</v>
      </c>
      <c r="I246" s="17">
        <v>55.75</v>
      </c>
      <c r="J246" s="17">
        <v>23.24</v>
      </c>
      <c r="K246" s="17">
        <v>436.06</v>
      </c>
      <c r="L246" s="12"/>
    </row>
    <row r="247" spans="1:12" ht="16" x14ac:dyDescent="0.2">
      <c r="A247" s="7"/>
      <c r="B247" s="7"/>
      <c r="G247" s="15">
        <v>45408</v>
      </c>
      <c r="H247" s="16">
        <v>0.625</v>
      </c>
      <c r="I247" s="17">
        <v>55.63</v>
      </c>
      <c r="J247" s="17">
        <v>24.87</v>
      </c>
      <c r="K247" s="17">
        <v>435.29</v>
      </c>
      <c r="L247" s="12"/>
    </row>
    <row r="248" spans="1:12" ht="16" x14ac:dyDescent="0.2">
      <c r="A248" s="7"/>
      <c r="B248" s="7"/>
      <c r="G248" s="15">
        <v>45408</v>
      </c>
      <c r="H248" s="16">
        <v>0.66666666666666663</v>
      </c>
      <c r="I248" s="17">
        <v>56.19</v>
      </c>
      <c r="J248" s="17">
        <v>25.77</v>
      </c>
      <c r="K248" s="17">
        <v>434.13</v>
      </c>
      <c r="L248" s="12"/>
    </row>
    <row r="249" spans="1:12" ht="16" x14ac:dyDescent="0.2">
      <c r="A249" s="7"/>
      <c r="B249" s="7"/>
      <c r="G249" s="15">
        <v>45408</v>
      </c>
      <c r="H249" s="16">
        <v>0.70833333333333337</v>
      </c>
      <c r="I249" s="17">
        <v>55.79</v>
      </c>
      <c r="J249" s="17">
        <v>27.27</v>
      </c>
      <c r="K249" s="17">
        <v>434.63</v>
      </c>
      <c r="L249" s="12"/>
    </row>
    <row r="250" spans="1:12" ht="16" x14ac:dyDescent="0.2">
      <c r="A250" s="7"/>
      <c r="B250" s="7"/>
      <c r="G250" s="15">
        <v>45408</v>
      </c>
      <c r="H250" s="16">
        <v>0.75</v>
      </c>
      <c r="I250" s="17">
        <v>56.25</v>
      </c>
      <c r="J250" s="17">
        <v>26.12</v>
      </c>
      <c r="K250" s="17">
        <v>436.34</v>
      </c>
      <c r="L250" s="12"/>
    </row>
    <row r="251" spans="1:12" ht="16" x14ac:dyDescent="0.2">
      <c r="A251" s="7"/>
      <c r="B251" s="7"/>
      <c r="G251" s="15">
        <v>45408</v>
      </c>
      <c r="H251" s="16">
        <v>0.79166666666666663</v>
      </c>
      <c r="I251" s="17">
        <v>58.49</v>
      </c>
      <c r="J251" s="17">
        <v>23.35</v>
      </c>
      <c r="K251" s="17">
        <v>440.37</v>
      </c>
      <c r="L251" s="12"/>
    </row>
    <row r="252" spans="1:12" ht="16" x14ac:dyDescent="0.2">
      <c r="A252" s="7"/>
      <c r="B252" s="7"/>
      <c r="G252" s="15">
        <v>45408</v>
      </c>
      <c r="H252" s="16">
        <v>0.83333333333333337</v>
      </c>
      <c r="I252" s="17">
        <v>59.95</v>
      </c>
      <c r="J252" s="17">
        <v>21.69</v>
      </c>
      <c r="K252" s="17">
        <v>446.86</v>
      </c>
      <c r="L252" s="12"/>
    </row>
    <row r="253" spans="1:12" ht="16" x14ac:dyDescent="0.2">
      <c r="A253" s="7"/>
      <c r="B253" s="7"/>
      <c r="G253" s="15">
        <v>45408</v>
      </c>
      <c r="H253" s="16">
        <v>0.875</v>
      </c>
      <c r="I253" s="17">
        <v>60.9</v>
      </c>
      <c r="J253" s="17">
        <v>20.97</v>
      </c>
      <c r="K253" s="17">
        <v>456.85</v>
      </c>
      <c r="L253" s="12"/>
    </row>
    <row r="254" spans="1:12" ht="16" x14ac:dyDescent="0.2">
      <c r="A254" s="7"/>
      <c r="B254" s="7"/>
      <c r="G254" s="15">
        <v>45408</v>
      </c>
      <c r="H254" s="16">
        <v>0.91666666666666663</v>
      </c>
      <c r="I254" s="17">
        <v>61.72</v>
      </c>
      <c r="J254" s="17">
        <v>20.49</v>
      </c>
      <c r="K254" s="17">
        <v>465.26</v>
      </c>
      <c r="L254" s="12"/>
    </row>
    <row r="255" spans="1:12" ht="16" x14ac:dyDescent="0.2">
      <c r="A255" s="7"/>
      <c r="B255" s="7"/>
      <c r="G255" s="15">
        <v>45408</v>
      </c>
      <c r="H255" s="16">
        <v>0.95833333333333337</v>
      </c>
      <c r="I255" s="17">
        <v>62.55</v>
      </c>
      <c r="J255" s="17">
        <v>19.829999999999998</v>
      </c>
      <c r="K255" s="17">
        <v>469.67</v>
      </c>
      <c r="L255" s="12"/>
    </row>
    <row r="256" spans="1:12" ht="16" x14ac:dyDescent="0.2">
      <c r="A256" s="7"/>
      <c r="B256" s="7"/>
      <c r="G256" s="15">
        <v>45409</v>
      </c>
      <c r="H256" s="16">
        <v>0</v>
      </c>
      <c r="I256" s="17">
        <v>63.14</v>
      </c>
      <c r="J256" s="17">
        <v>19.149999999999999</v>
      </c>
      <c r="K256" s="17">
        <v>471.8</v>
      </c>
      <c r="L256" s="12"/>
    </row>
    <row r="257" spans="1:12" ht="16" x14ac:dyDescent="0.2">
      <c r="A257" s="7"/>
      <c r="B257" s="7"/>
      <c r="G257" s="15">
        <v>45409</v>
      </c>
      <c r="H257" s="16">
        <v>4.1666666666666664E-2</v>
      </c>
      <c r="I257" s="17">
        <v>63.83</v>
      </c>
      <c r="J257" s="17">
        <v>18.920000000000002</v>
      </c>
      <c r="K257" s="17">
        <v>471.95</v>
      </c>
      <c r="L257" s="12"/>
    </row>
    <row r="258" spans="1:12" ht="16" x14ac:dyDescent="0.2">
      <c r="A258" s="7"/>
      <c r="B258" s="7"/>
      <c r="G258" s="15">
        <v>45409</v>
      </c>
      <c r="H258" s="16">
        <v>8.3333333333333329E-2</v>
      </c>
      <c r="I258" s="17">
        <v>64.47</v>
      </c>
      <c r="J258" s="17">
        <v>18.68</v>
      </c>
      <c r="K258" s="17">
        <v>475.2</v>
      </c>
      <c r="L258" s="12"/>
    </row>
    <row r="259" spans="1:12" ht="16" x14ac:dyDescent="0.2">
      <c r="A259" s="7"/>
      <c r="B259" s="7"/>
      <c r="G259" s="15">
        <v>45409</v>
      </c>
      <c r="H259" s="16">
        <v>0.125</v>
      </c>
      <c r="I259" s="17">
        <v>64.959999999999994</v>
      </c>
      <c r="J259" s="17">
        <v>19.149999999999999</v>
      </c>
      <c r="K259" s="17">
        <v>475.27</v>
      </c>
      <c r="L259" s="12"/>
    </row>
    <row r="260" spans="1:12" ht="16" x14ac:dyDescent="0.2">
      <c r="A260" s="7"/>
      <c r="B260" s="7"/>
      <c r="G260" s="15">
        <v>45409</v>
      </c>
      <c r="H260" s="16">
        <v>0.16666666666666666</v>
      </c>
      <c r="I260" s="17">
        <v>65.16</v>
      </c>
      <c r="J260" s="17">
        <v>19.57</v>
      </c>
      <c r="K260" s="17">
        <v>475.18</v>
      </c>
      <c r="L260" s="12"/>
    </row>
    <row r="261" spans="1:12" ht="16" x14ac:dyDescent="0.2">
      <c r="A261" s="7"/>
      <c r="B261" s="7"/>
      <c r="G261" s="15">
        <v>45409</v>
      </c>
      <c r="H261" s="16">
        <v>0.20833333333333334</v>
      </c>
      <c r="I261" s="17">
        <v>65.37</v>
      </c>
      <c r="J261" s="17">
        <v>19.14</v>
      </c>
      <c r="K261" s="17">
        <v>477.3</v>
      </c>
      <c r="L261" s="12"/>
    </row>
    <row r="262" spans="1:12" ht="16" x14ac:dyDescent="0.2">
      <c r="A262" s="7"/>
      <c r="B262" s="7"/>
      <c r="G262" s="15">
        <v>45409</v>
      </c>
      <c r="H262" s="16">
        <v>0.25</v>
      </c>
      <c r="I262" s="17">
        <v>65.89</v>
      </c>
      <c r="J262" s="17">
        <v>18.46</v>
      </c>
      <c r="K262" s="17">
        <v>480.99</v>
      </c>
      <c r="L262" s="12"/>
    </row>
    <row r="263" spans="1:12" ht="16" x14ac:dyDescent="0.2">
      <c r="A263" s="7"/>
      <c r="B263" s="7"/>
      <c r="G263" s="15">
        <v>45409</v>
      </c>
      <c r="H263" s="16">
        <v>0.29166666666666669</v>
      </c>
      <c r="I263" s="17">
        <v>65.52</v>
      </c>
      <c r="J263" s="17">
        <v>20.86</v>
      </c>
      <c r="K263" s="17">
        <v>480.11</v>
      </c>
      <c r="L263" s="12"/>
    </row>
    <row r="264" spans="1:12" ht="16" x14ac:dyDescent="0.2">
      <c r="A264" s="7"/>
      <c r="B264" s="7"/>
      <c r="G264" s="15">
        <v>45409</v>
      </c>
      <c r="H264" s="16">
        <v>0.33333333333333331</v>
      </c>
      <c r="I264" s="17">
        <v>63.85</v>
      </c>
      <c r="J264" s="17">
        <v>24.65</v>
      </c>
      <c r="K264" s="17">
        <v>471.57</v>
      </c>
      <c r="L264" s="12"/>
    </row>
    <row r="265" spans="1:12" ht="16" x14ac:dyDescent="0.2">
      <c r="A265" s="7"/>
      <c r="B265" s="7"/>
      <c r="G265" s="15">
        <v>45409</v>
      </c>
      <c r="H265" s="16">
        <v>0.375</v>
      </c>
      <c r="I265" s="17">
        <v>61.63</v>
      </c>
      <c r="J265" s="17">
        <v>25.37</v>
      </c>
      <c r="K265" s="17">
        <v>461.89</v>
      </c>
      <c r="L265" s="12"/>
    </row>
    <row r="266" spans="1:12" ht="16" x14ac:dyDescent="0.2">
      <c r="A266" s="7"/>
      <c r="B266" s="7"/>
      <c r="G266" s="15">
        <v>45409</v>
      </c>
      <c r="H266" s="16">
        <v>0.41666666666666669</v>
      </c>
      <c r="I266" s="17">
        <v>59.48</v>
      </c>
      <c r="J266" s="17">
        <v>24.76</v>
      </c>
      <c r="K266" s="17">
        <v>455.83</v>
      </c>
      <c r="L266" s="12"/>
    </row>
    <row r="267" spans="1:12" ht="16" x14ac:dyDescent="0.2">
      <c r="A267" s="7"/>
      <c r="B267" s="7"/>
      <c r="G267" s="15">
        <v>45409</v>
      </c>
      <c r="H267" s="16">
        <v>0.45833333333333331</v>
      </c>
      <c r="I267" s="17">
        <v>57.24</v>
      </c>
      <c r="J267" s="17">
        <v>24.29</v>
      </c>
      <c r="K267" s="17">
        <v>447.9</v>
      </c>
      <c r="L267" s="12"/>
    </row>
    <row r="268" spans="1:12" ht="16" x14ac:dyDescent="0.2">
      <c r="A268" s="7"/>
      <c r="B268" s="7"/>
      <c r="G268" s="15">
        <v>45409</v>
      </c>
      <c r="H268" s="16">
        <v>0.5</v>
      </c>
      <c r="I268" s="17">
        <v>56.54</v>
      </c>
      <c r="J268" s="17">
        <v>23.12</v>
      </c>
      <c r="K268" s="17">
        <v>445</v>
      </c>
      <c r="L268" s="12"/>
    </row>
    <row r="269" spans="1:12" ht="16" x14ac:dyDescent="0.2">
      <c r="A269" s="7"/>
      <c r="B269" s="7"/>
      <c r="G269" s="15">
        <v>45409</v>
      </c>
      <c r="H269" s="16">
        <v>0.54166666666666663</v>
      </c>
      <c r="I269" s="17">
        <v>56.17</v>
      </c>
      <c r="J269" s="17">
        <v>23.17</v>
      </c>
      <c r="K269" s="17">
        <v>441.35</v>
      </c>
      <c r="L269" s="12"/>
    </row>
    <row r="270" spans="1:12" ht="16" x14ac:dyDescent="0.2">
      <c r="A270" s="7"/>
      <c r="B270" s="7"/>
      <c r="G270" s="15">
        <v>45409</v>
      </c>
      <c r="H270" s="16">
        <v>0.58333333333333337</v>
      </c>
      <c r="I270" s="17">
        <v>56.15</v>
      </c>
      <c r="J270" s="17">
        <v>23.47</v>
      </c>
      <c r="K270" s="17">
        <v>437.55</v>
      </c>
      <c r="L270" s="12"/>
    </row>
    <row r="271" spans="1:12" ht="16" x14ac:dyDescent="0.2">
      <c r="A271" s="7"/>
      <c r="B271" s="7"/>
      <c r="G271" s="15">
        <v>45409</v>
      </c>
      <c r="H271" s="16">
        <v>0.625</v>
      </c>
      <c r="I271" s="17">
        <v>56.21</v>
      </c>
      <c r="J271" s="17">
        <v>24.52</v>
      </c>
      <c r="K271" s="17">
        <v>436.83</v>
      </c>
      <c r="L271" s="12"/>
    </row>
    <row r="272" spans="1:12" ht="16" x14ac:dyDescent="0.2">
      <c r="A272" s="7"/>
      <c r="B272" s="7"/>
      <c r="G272" s="15">
        <v>45409</v>
      </c>
      <c r="H272" s="16">
        <v>0.66666666666666663</v>
      </c>
      <c r="I272" s="17">
        <v>56.42</v>
      </c>
      <c r="J272" s="17">
        <v>25.66</v>
      </c>
      <c r="K272" s="17">
        <v>434.77</v>
      </c>
      <c r="L272" s="12"/>
    </row>
    <row r="273" spans="1:12" ht="16" x14ac:dyDescent="0.2">
      <c r="A273" s="7"/>
      <c r="B273" s="7"/>
      <c r="G273" s="15">
        <v>45409</v>
      </c>
      <c r="H273" s="16">
        <v>0.70833333333333337</v>
      </c>
      <c r="I273" s="17">
        <v>56.93</v>
      </c>
      <c r="J273" s="17">
        <v>26.65</v>
      </c>
      <c r="K273" s="17">
        <v>436.14</v>
      </c>
      <c r="L273" s="12"/>
    </row>
    <row r="274" spans="1:12" ht="16" x14ac:dyDescent="0.2">
      <c r="A274" s="7"/>
      <c r="B274" s="7"/>
      <c r="G274" s="15">
        <v>45409</v>
      </c>
      <c r="H274" s="16">
        <v>0.75</v>
      </c>
      <c r="I274" s="17">
        <v>57.16</v>
      </c>
      <c r="J274" s="17">
        <v>26.74</v>
      </c>
      <c r="K274" s="17">
        <v>438.75</v>
      </c>
      <c r="L274" s="12"/>
    </row>
    <row r="275" spans="1:12" ht="16" x14ac:dyDescent="0.2">
      <c r="A275" s="7"/>
      <c r="B275" s="7"/>
      <c r="G275" s="15">
        <v>45409</v>
      </c>
      <c r="H275" s="16">
        <v>0.79166666666666663</v>
      </c>
      <c r="I275" s="17">
        <v>59.42</v>
      </c>
      <c r="J275" s="17">
        <v>23.45</v>
      </c>
      <c r="K275" s="17">
        <v>442.03</v>
      </c>
      <c r="L275" s="12"/>
    </row>
    <row r="276" spans="1:12" ht="16" x14ac:dyDescent="0.2">
      <c r="A276" s="7"/>
      <c r="B276" s="7"/>
      <c r="G276" s="15">
        <v>45409</v>
      </c>
      <c r="H276" s="16">
        <v>0.83333333333333337</v>
      </c>
      <c r="I276" s="17">
        <v>60.82</v>
      </c>
      <c r="J276" s="17">
        <v>21.5</v>
      </c>
      <c r="K276" s="17">
        <v>452.48</v>
      </c>
      <c r="L276" s="12"/>
    </row>
    <row r="277" spans="1:12" ht="16" x14ac:dyDescent="0.2">
      <c r="A277" s="7"/>
      <c r="B277" s="7"/>
      <c r="G277" s="15">
        <v>45409</v>
      </c>
      <c r="H277" s="16">
        <v>0.875</v>
      </c>
      <c r="I277" s="17">
        <v>61.71</v>
      </c>
      <c r="J277" s="17">
        <v>20.73</v>
      </c>
      <c r="K277" s="17">
        <v>458.86</v>
      </c>
      <c r="L277" s="12"/>
    </row>
    <row r="278" spans="1:12" ht="16" x14ac:dyDescent="0.2">
      <c r="A278" s="7"/>
      <c r="B278" s="7"/>
      <c r="G278" s="15">
        <v>45409</v>
      </c>
      <c r="H278" s="16">
        <v>0.91666666666666663</v>
      </c>
      <c r="I278" s="17">
        <v>62.65</v>
      </c>
      <c r="J278" s="17">
        <v>20.2</v>
      </c>
      <c r="K278" s="17">
        <v>467.03</v>
      </c>
      <c r="L278" s="12"/>
    </row>
    <row r="279" spans="1:12" ht="16" x14ac:dyDescent="0.2">
      <c r="A279" s="7"/>
      <c r="B279" s="7"/>
      <c r="G279" s="15">
        <v>45409</v>
      </c>
      <c r="H279" s="16">
        <v>0.95833333333333337</v>
      </c>
      <c r="I279" s="17">
        <v>63.68</v>
      </c>
      <c r="J279" s="17">
        <v>19.64</v>
      </c>
      <c r="K279" s="17">
        <v>473.22</v>
      </c>
      <c r="L279" s="12"/>
    </row>
    <row r="280" spans="1:12" ht="16" x14ac:dyDescent="0.2">
      <c r="A280" s="7"/>
      <c r="B280" s="7"/>
      <c r="G280" s="15">
        <v>45410</v>
      </c>
      <c r="H280" s="16">
        <v>0</v>
      </c>
      <c r="I280" s="17">
        <v>64.510000000000005</v>
      </c>
      <c r="J280" s="17">
        <v>19.27</v>
      </c>
      <c r="K280" s="17">
        <v>477.63</v>
      </c>
      <c r="L280" s="12"/>
    </row>
    <row r="281" spans="1:12" ht="16" x14ac:dyDescent="0.2">
      <c r="A281" s="7"/>
      <c r="B281" s="7"/>
      <c r="G281" s="15">
        <v>45410</v>
      </c>
      <c r="H281" s="16">
        <v>4.1666666666666664E-2</v>
      </c>
      <c r="I281" s="17">
        <v>65.040000000000006</v>
      </c>
      <c r="J281" s="17">
        <v>18.89</v>
      </c>
      <c r="K281" s="17">
        <v>481.14</v>
      </c>
      <c r="L281" s="12"/>
    </row>
    <row r="282" spans="1:12" ht="16" x14ac:dyDescent="0.2">
      <c r="A282" s="7"/>
      <c r="B282" s="7"/>
      <c r="G282" s="15">
        <v>45410</v>
      </c>
      <c r="H282" s="16">
        <v>8.3333333333333329E-2</v>
      </c>
      <c r="I282" s="17">
        <v>65.989999999999995</v>
      </c>
      <c r="J282" s="17">
        <v>18.61</v>
      </c>
      <c r="K282" s="17">
        <v>481.38</v>
      </c>
      <c r="L282" s="12"/>
    </row>
    <row r="283" spans="1:12" ht="16" x14ac:dyDescent="0.2">
      <c r="A283" s="7"/>
      <c r="B283" s="7"/>
      <c r="G283" s="15">
        <v>45410</v>
      </c>
      <c r="H283" s="16">
        <v>0.125</v>
      </c>
      <c r="I283" s="17">
        <v>66.11</v>
      </c>
      <c r="J283" s="17">
        <v>18.850000000000001</v>
      </c>
      <c r="K283" s="17">
        <v>482.36</v>
      </c>
      <c r="L283" s="12"/>
    </row>
    <row r="284" spans="1:12" ht="16" x14ac:dyDescent="0.2">
      <c r="A284" s="7"/>
      <c r="B284" s="7"/>
      <c r="G284" s="15">
        <v>45410</v>
      </c>
      <c r="H284" s="16">
        <v>0.16666666666666666</v>
      </c>
      <c r="I284" s="17">
        <v>66.489999999999995</v>
      </c>
      <c r="J284" s="17">
        <v>19.079999999999998</v>
      </c>
      <c r="K284" s="17">
        <v>483.38</v>
      </c>
      <c r="L284" s="12"/>
    </row>
    <row r="285" spans="1:12" ht="16" x14ac:dyDescent="0.2">
      <c r="A285" s="7"/>
      <c r="B285" s="7"/>
      <c r="G285" s="15">
        <v>45410</v>
      </c>
      <c r="H285" s="16">
        <v>0.20833333333333334</v>
      </c>
      <c r="I285" s="17">
        <v>66.900000000000006</v>
      </c>
      <c r="J285" s="17">
        <v>19.510000000000002</v>
      </c>
      <c r="K285" s="17">
        <v>483.13</v>
      </c>
      <c r="L285" s="12"/>
    </row>
    <row r="286" spans="1:12" ht="16" x14ac:dyDescent="0.2">
      <c r="A286" s="7"/>
      <c r="B286" s="7"/>
      <c r="G286" s="15">
        <v>45410</v>
      </c>
      <c r="H286" s="16">
        <v>0.25</v>
      </c>
      <c r="I286" s="17">
        <v>67.25</v>
      </c>
      <c r="J286" s="17">
        <v>20.11</v>
      </c>
      <c r="K286" s="17">
        <v>482.76</v>
      </c>
      <c r="L286" s="12"/>
    </row>
    <row r="287" spans="1:12" ht="16" x14ac:dyDescent="0.2">
      <c r="A287" s="7"/>
      <c r="B287" s="7"/>
      <c r="G287" s="15">
        <v>45410</v>
      </c>
      <c r="H287" s="16">
        <v>0.29166666666666669</v>
      </c>
      <c r="I287" s="17">
        <v>67.33</v>
      </c>
      <c r="J287" s="17">
        <v>21.52</v>
      </c>
      <c r="K287" s="17">
        <v>482.53</v>
      </c>
      <c r="L287" s="12"/>
    </row>
    <row r="288" spans="1:12" ht="16" x14ac:dyDescent="0.2">
      <c r="A288" s="7"/>
      <c r="B288" s="7"/>
      <c r="G288" s="15">
        <v>45410</v>
      </c>
      <c r="H288" s="16">
        <v>0.33333333333333331</v>
      </c>
      <c r="I288" s="17">
        <v>66.260000000000005</v>
      </c>
      <c r="J288" s="17">
        <v>23.15</v>
      </c>
      <c r="K288" s="17">
        <v>477.4</v>
      </c>
      <c r="L288" s="12"/>
    </row>
    <row r="289" spans="1:12" ht="16" x14ac:dyDescent="0.2">
      <c r="A289" s="7"/>
      <c r="B289" s="7"/>
      <c r="G289" s="15">
        <v>45410</v>
      </c>
      <c r="H289" s="16">
        <v>0.375</v>
      </c>
      <c r="I289" s="17">
        <v>63.62</v>
      </c>
      <c r="J289" s="17">
        <v>24.99</v>
      </c>
      <c r="K289" s="17">
        <v>469.38</v>
      </c>
      <c r="L289" s="12"/>
    </row>
    <row r="290" spans="1:12" ht="16" x14ac:dyDescent="0.2">
      <c r="A290" s="7"/>
      <c r="B290" s="7"/>
      <c r="G290" s="15">
        <v>45410</v>
      </c>
      <c r="H290" s="16">
        <v>0.41666666666666669</v>
      </c>
      <c r="I290" s="17">
        <v>60.98</v>
      </c>
      <c r="J290" s="17">
        <v>24.4</v>
      </c>
      <c r="K290" s="17">
        <v>462.26</v>
      </c>
      <c r="L290" s="12"/>
    </row>
    <row r="291" spans="1:12" ht="16" x14ac:dyDescent="0.2">
      <c r="A291" s="7"/>
      <c r="B291" s="7"/>
      <c r="G291" s="15">
        <v>45410</v>
      </c>
      <c r="H291" s="16">
        <v>0.45833333333333331</v>
      </c>
      <c r="I291" s="17">
        <v>59.51</v>
      </c>
      <c r="J291" s="17">
        <v>23.39</v>
      </c>
      <c r="K291" s="17">
        <v>455.53</v>
      </c>
      <c r="L291" s="12"/>
    </row>
    <row r="292" spans="1:12" ht="16" x14ac:dyDescent="0.2">
      <c r="A292" s="7"/>
      <c r="B292" s="7"/>
      <c r="G292" s="15">
        <v>45410</v>
      </c>
      <c r="H292" s="16">
        <v>0.5</v>
      </c>
      <c r="I292" s="17">
        <v>57.9</v>
      </c>
      <c r="J292" s="17">
        <v>23.62</v>
      </c>
      <c r="K292" s="17">
        <v>451.25</v>
      </c>
      <c r="L292" s="12"/>
    </row>
    <row r="293" spans="1:12" ht="16" x14ac:dyDescent="0.2">
      <c r="A293" s="7"/>
      <c r="B293" s="7"/>
      <c r="G293" s="15">
        <v>45410</v>
      </c>
      <c r="H293" s="16">
        <v>0.54166666666666663</v>
      </c>
      <c r="I293" s="17">
        <v>56.7</v>
      </c>
      <c r="J293" s="17">
        <v>23.57</v>
      </c>
      <c r="K293" s="17">
        <v>446.47</v>
      </c>
      <c r="L293" s="12"/>
    </row>
    <row r="294" spans="1:12" ht="16" x14ac:dyDescent="0.2">
      <c r="A294" s="7"/>
      <c r="B294" s="7"/>
      <c r="G294" s="15">
        <v>45410</v>
      </c>
      <c r="H294" s="16">
        <v>0.58333333333333337</v>
      </c>
      <c r="I294" s="17">
        <v>56.07</v>
      </c>
      <c r="J294" s="17">
        <v>24.15</v>
      </c>
      <c r="K294" s="17">
        <v>442.47</v>
      </c>
      <c r="L294" s="12"/>
    </row>
    <row r="295" spans="1:12" ht="16" x14ac:dyDescent="0.2">
      <c r="A295" s="7"/>
      <c r="B295" s="7"/>
      <c r="G295" s="15">
        <v>45410</v>
      </c>
      <c r="H295" s="16">
        <v>0.625</v>
      </c>
      <c r="I295" s="17">
        <v>55.72</v>
      </c>
      <c r="J295" s="17">
        <v>24.88</v>
      </c>
      <c r="K295" s="17">
        <v>441.41</v>
      </c>
      <c r="L295" s="12"/>
    </row>
    <row r="296" spans="1:12" ht="16" x14ac:dyDescent="0.2">
      <c r="A296" s="7"/>
      <c r="B296" s="7"/>
      <c r="G296" s="15">
        <v>45410</v>
      </c>
      <c r="H296" s="16">
        <v>0.66666666666666663</v>
      </c>
      <c r="I296" s="17">
        <v>55.91</v>
      </c>
      <c r="J296" s="17">
        <v>25.9</v>
      </c>
      <c r="K296" s="17">
        <v>436.69</v>
      </c>
      <c r="L296" s="12"/>
    </row>
    <row r="297" spans="1:12" ht="16" x14ac:dyDescent="0.2">
      <c r="A297" s="7"/>
      <c r="B297" s="7"/>
      <c r="G297" s="15">
        <v>45410</v>
      </c>
      <c r="H297" s="16">
        <v>0.70833333333333337</v>
      </c>
      <c r="I297" s="17">
        <v>55.9</v>
      </c>
      <c r="J297" s="17">
        <v>26.88</v>
      </c>
      <c r="K297" s="17">
        <v>440.57</v>
      </c>
      <c r="L297" s="12"/>
    </row>
    <row r="298" spans="1:12" ht="16" x14ac:dyDescent="0.2">
      <c r="A298" s="7"/>
      <c r="B298" s="7"/>
      <c r="G298" s="15">
        <v>45410</v>
      </c>
      <c r="H298" s="16">
        <v>0.75</v>
      </c>
      <c r="I298" s="17">
        <v>56.09</v>
      </c>
      <c r="J298" s="17">
        <v>27.42</v>
      </c>
      <c r="K298" s="17">
        <v>447.56</v>
      </c>
      <c r="L298" s="12"/>
    </row>
    <row r="299" spans="1:12" ht="16" x14ac:dyDescent="0.2">
      <c r="A299" s="7"/>
      <c r="B299" s="7"/>
      <c r="G299" s="15">
        <v>45410</v>
      </c>
      <c r="H299" s="16">
        <v>0.79166666666666663</v>
      </c>
      <c r="I299" s="17">
        <v>58.09</v>
      </c>
      <c r="J299" s="17">
        <v>24.21</v>
      </c>
      <c r="K299" s="17">
        <v>448.08</v>
      </c>
      <c r="L299" s="12"/>
    </row>
    <row r="300" spans="1:12" ht="16" x14ac:dyDescent="0.2">
      <c r="A300" s="7"/>
      <c r="B300" s="7"/>
      <c r="G300" s="15">
        <v>45410</v>
      </c>
      <c r="H300" s="16">
        <v>0.83333333333333337</v>
      </c>
      <c r="I300" s="17">
        <v>59.53</v>
      </c>
      <c r="J300" s="17">
        <v>21.95</v>
      </c>
      <c r="K300" s="17">
        <v>453.11</v>
      </c>
      <c r="L300" s="12"/>
    </row>
    <row r="301" spans="1:12" ht="16" x14ac:dyDescent="0.2">
      <c r="A301" s="7"/>
      <c r="B301" s="7"/>
      <c r="G301" s="15">
        <v>45410</v>
      </c>
      <c r="H301" s="16">
        <v>0.875</v>
      </c>
      <c r="I301" s="17">
        <v>60.16</v>
      </c>
      <c r="J301" s="17">
        <v>20.72</v>
      </c>
      <c r="K301" s="17">
        <v>460.58</v>
      </c>
      <c r="L301" s="12"/>
    </row>
    <row r="302" spans="1:12" ht="16" x14ac:dyDescent="0.2">
      <c r="A302" s="7"/>
      <c r="B302" s="7"/>
      <c r="G302" s="15">
        <v>45410</v>
      </c>
      <c r="H302" s="16">
        <v>0.91666666666666663</v>
      </c>
      <c r="I302" s="17">
        <v>61.12</v>
      </c>
      <c r="J302" s="17">
        <v>19.84</v>
      </c>
      <c r="K302" s="17">
        <v>467.62</v>
      </c>
      <c r="L302" s="12"/>
    </row>
    <row r="303" spans="1:12" ht="16" x14ac:dyDescent="0.2">
      <c r="A303" s="7"/>
      <c r="B303" s="7"/>
      <c r="G303" s="15">
        <v>45410</v>
      </c>
      <c r="H303" s="16">
        <v>0.95833333333333337</v>
      </c>
      <c r="I303" s="17">
        <v>62.03</v>
      </c>
      <c r="J303" s="17">
        <v>19.149999999999999</v>
      </c>
      <c r="K303" s="17">
        <v>472.02</v>
      </c>
      <c r="L303" s="12"/>
    </row>
    <row r="304" spans="1:12" ht="16" x14ac:dyDescent="0.2">
      <c r="A304" s="7"/>
      <c r="B304" s="7"/>
      <c r="G304" s="15">
        <v>45411</v>
      </c>
      <c r="H304" s="16">
        <v>0</v>
      </c>
      <c r="I304" s="17">
        <v>62.92</v>
      </c>
      <c r="J304" s="17">
        <v>18.64</v>
      </c>
      <c r="K304" s="17">
        <v>477.52</v>
      </c>
      <c r="L304" s="12"/>
    </row>
    <row r="305" spans="1:12" ht="16" x14ac:dyDescent="0.2">
      <c r="A305" s="7"/>
      <c r="B305" s="7"/>
      <c r="G305" s="15">
        <v>45411</v>
      </c>
      <c r="H305" s="16">
        <v>4.1666666666666664E-2</v>
      </c>
      <c r="I305" s="17">
        <v>63.79</v>
      </c>
      <c r="J305" s="17">
        <v>19.010000000000002</v>
      </c>
      <c r="K305" s="17">
        <v>479.35</v>
      </c>
      <c r="L305" s="12"/>
    </row>
    <row r="306" spans="1:12" ht="16" x14ac:dyDescent="0.2">
      <c r="A306" s="7"/>
      <c r="B306" s="7"/>
      <c r="G306" s="15">
        <v>45411</v>
      </c>
      <c r="H306" s="16">
        <v>8.3333333333333329E-2</v>
      </c>
      <c r="I306" s="17">
        <v>63.95</v>
      </c>
      <c r="J306" s="17">
        <v>19.23</v>
      </c>
      <c r="K306" s="17">
        <v>477.24</v>
      </c>
      <c r="L306" s="12"/>
    </row>
    <row r="307" spans="1:12" ht="16" x14ac:dyDescent="0.2">
      <c r="A307" s="7"/>
      <c r="B307" s="7"/>
      <c r="G307" s="15">
        <v>45411</v>
      </c>
      <c r="H307" s="16">
        <v>0.125</v>
      </c>
      <c r="I307" s="17">
        <v>64.52</v>
      </c>
      <c r="J307" s="17">
        <v>18.39</v>
      </c>
      <c r="K307" s="17">
        <v>478.12</v>
      </c>
      <c r="L307" s="12"/>
    </row>
    <row r="308" spans="1:12" ht="16" x14ac:dyDescent="0.2">
      <c r="A308" s="7"/>
      <c r="B308" s="7"/>
      <c r="G308" s="15">
        <v>45411</v>
      </c>
      <c r="H308" s="16">
        <v>0.16666666666666666</v>
      </c>
      <c r="I308" s="17">
        <v>65.16</v>
      </c>
      <c r="J308" s="17">
        <v>17.95</v>
      </c>
      <c r="K308" s="17">
        <v>478.37</v>
      </c>
      <c r="L308" s="12"/>
    </row>
    <row r="309" spans="1:12" ht="16" x14ac:dyDescent="0.2">
      <c r="A309" s="7"/>
      <c r="B309" s="7"/>
      <c r="G309" s="15">
        <v>45411</v>
      </c>
      <c r="H309" s="16">
        <v>0.20833333333333334</v>
      </c>
      <c r="I309" s="17">
        <v>65.84</v>
      </c>
      <c r="J309" s="17">
        <v>17.5</v>
      </c>
      <c r="K309" s="17">
        <v>479.83</v>
      </c>
      <c r="L309" s="12"/>
    </row>
    <row r="310" spans="1:12" ht="16" x14ac:dyDescent="0.2">
      <c r="A310" s="7"/>
      <c r="B310" s="7"/>
      <c r="G310" s="15">
        <v>45411</v>
      </c>
      <c r="H310" s="16">
        <v>0.25</v>
      </c>
      <c r="I310" s="17">
        <v>66.28</v>
      </c>
      <c r="J310" s="17">
        <v>17.350000000000001</v>
      </c>
      <c r="K310" s="17">
        <v>483.13</v>
      </c>
      <c r="L310" s="12"/>
    </row>
    <row r="311" spans="1:12" ht="16" x14ac:dyDescent="0.2">
      <c r="A311" s="7"/>
      <c r="B311" s="7"/>
      <c r="G311" s="15">
        <v>45411</v>
      </c>
      <c r="H311" s="16">
        <v>0.29166666666666669</v>
      </c>
      <c r="I311" s="17">
        <v>65.77</v>
      </c>
      <c r="J311" s="17">
        <v>20.34</v>
      </c>
      <c r="K311" s="17">
        <v>482.52</v>
      </c>
      <c r="L311" s="12"/>
    </row>
    <row r="312" spans="1:12" ht="16" x14ac:dyDescent="0.2">
      <c r="A312" s="7"/>
      <c r="B312" s="7"/>
      <c r="G312" s="15">
        <v>45411</v>
      </c>
      <c r="H312" s="16">
        <v>0.33333333333333331</v>
      </c>
      <c r="I312" s="17">
        <v>64.260000000000005</v>
      </c>
      <c r="J312" s="17">
        <v>24.38</v>
      </c>
      <c r="K312" s="17">
        <v>471.98</v>
      </c>
      <c r="L312" s="12"/>
    </row>
    <row r="313" spans="1:12" ht="16" x14ac:dyDescent="0.2">
      <c r="A313" s="7"/>
      <c r="B313" s="7"/>
      <c r="G313" s="15">
        <v>45411</v>
      </c>
      <c r="H313" s="16">
        <v>0.375</v>
      </c>
      <c r="I313" s="17">
        <v>61.93</v>
      </c>
      <c r="J313" s="17">
        <v>25.09</v>
      </c>
      <c r="K313" s="17">
        <v>466.81</v>
      </c>
      <c r="L313" s="12"/>
    </row>
    <row r="314" spans="1:12" ht="16" x14ac:dyDescent="0.2">
      <c r="A314" s="7"/>
      <c r="B314" s="7"/>
      <c r="G314" s="15">
        <v>45411</v>
      </c>
      <c r="H314" s="16">
        <v>0.41666666666666669</v>
      </c>
      <c r="I314" s="17">
        <v>60.73</v>
      </c>
      <c r="J314" s="17">
        <v>22.94</v>
      </c>
      <c r="K314" s="17">
        <v>458.87</v>
      </c>
      <c r="L314" s="12"/>
    </row>
    <row r="315" spans="1:12" ht="16" x14ac:dyDescent="0.2">
      <c r="A315" s="7"/>
      <c r="B315" s="7"/>
      <c r="G315" s="15">
        <v>45411</v>
      </c>
      <c r="H315" s="16">
        <v>0.45833333333333331</v>
      </c>
      <c r="I315" s="17">
        <v>58.96</v>
      </c>
      <c r="J315" s="17">
        <v>23.17</v>
      </c>
      <c r="K315" s="17">
        <v>454.17</v>
      </c>
      <c r="L315" s="12"/>
    </row>
    <row r="316" spans="1:12" ht="16" x14ac:dyDescent="0.2">
      <c r="A316" s="7"/>
      <c r="B316" s="7"/>
      <c r="G316" s="15">
        <v>45411</v>
      </c>
      <c r="H316" s="16">
        <v>0.5</v>
      </c>
      <c r="I316" s="17">
        <v>57.72</v>
      </c>
      <c r="J316" s="17">
        <v>23.66</v>
      </c>
      <c r="K316" s="17">
        <v>452.57</v>
      </c>
      <c r="L316" s="12"/>
    </row>
    <row r="317" spans="1:12" ht="16" x14ac:dyDescent="0.2">
      <c r="A317" s="7"/>
      <c r="B317" s="7"/>
      <c r="G317" s="15">
        <v>45411</v>
      </c>
      <c r="H317" s="16">
        <v>0.54166666666666663</v>
      </c>
      <c r="I317" s="17">
        <v>56.82</v>
      </c>
      <c r="J317" s="17">
        <v>24.18</v>
      </c>
      <c r="K317" s="17">
        <v>448.27</v>
      </c>
      <c r="L317" s="12"/>
    </row>
    <row r="318" spans="1:12" ht="16" x14ac:dyDescent="0.2">
      <c r="A318" s="7"/>
      <c r="B318" s="7"/>
      <c r="G318" s="15">
        <v>45411</v>
      </c>
      <c r="H318" s="16">
        <v>0.58333333333333337</v>
      </c>
      <c r="I318" s="17">
        <v>56.9</v>
      </c>
      <c r="J318" s="17">
        <v>23.53</v>
      </c>
      <c r="K318" s="17">
        <v>442.52</v>
      </c>
      <c r="L318" s="12"/>
    </row>
    <row r="319" spans="1:12" ht="16" x14ac:dyDescent="0.2">
      <c r="A319" s="7"/>
      <c r="B319" s="7"/>
      <c r="G319" s="15">
        <v>45411</v>
      </c>
      <c r="H319" s="16">
        <v>0.625</v>
      </c>
      <c r="I319" s="17">
        <v>57.69</v>
      </c>
      <c r="J319" s="17">
        <v>23.42</v>
      </c>
      <c r="K319" s="17">
        <v>440.51</v>
      </c>
      <c r="L319" s="12"/>
    </row>
    <row r="320" spans="1:12" ht="16" x14ac:dyDescent="0.2">
      <c r="A320" s="7"/>
      <c r="B320" s="7"/>
      <c r="G320" s="15">
        <v>45411</v>
      </c>
      <c r="H320" s="16">
        <v>0.66666666666666663</v>
      </c>
      <c r="I320" s="17">
        <v>58.43</v>
      </c>
      <c r="J320" s="17">
        <v>24.7</v>
      </c>
      <c r="K320" s="17">
        <v>441.26</v>
      </c>
      <c r="L320" s="12"/>
    </row>
    <row r="321" spans="1:12" ht="16" x14ac:dyDescent="0.2">
      <c r="A321" s="7"/>
      <c r="B321" s="7"/>
      <c r="G321" s="15">
        <v>45411</v>
      </c>
      <c r="H321" s="16">
        <v>0.70833333333333337</v>
      </c>
      <c r="I321" s="17">
        <v>58.61</v>
      </c>
      <c r="J321" s="17">
        <v>26.25</v>
      </c>
      <c r="K321" s="17">
        <v>441.44</v>
      </c>
      <c r="L321" s="12"/>
    </row>
    <row r="322" spans="1:12" ht="16" x14ac:dyDescent="0.2">
      <c r="A322" s="7"/>
      <c r="B322" s="7"/>
      <c r="G322" s="15">
        <v>45411</v>
      </c>
      <c r="H322" s="16">
        <v>0.75</v>
      </c>
      <c r="I322" s="17">
        <v>58.64</v>
      </c>
      <c r="J322" s="17">
        <v>26.63</v>
      </c>
      <c r="K322" s="17">
        <v>442.34</v>
      </c>
      <c r="L322" s="12"/>
    </row>
    <row r="323" spans="1:12" ht="16" x14ac:dyDescent="0.2">
      <c r="A323" s="7"/>
      <c r="B323" s="7"/>
      <c r="G323" s="15">
        <v>45411</v>
      </c>
      <c r="H323" s="16">
        <v>0.79166666666666663</v>
      </c>
      <c r="I323" s="17">
        <v>60.34</v>
      </c>
      <c r="J323" s="17">
        <v>23.61</v>
      </c>
      <c r="K323" s="17">
        <v>446.21</v>
      </c>
      <c r="L323" s="12"/>
    </row>
    <row r="324" spans="1:12" ht="16" x14ac:dyDescent="0.2">
      <c r="A324" s="7"/>
      <c r="B324" s="7"/>
      <c r="G324" s="15">
        <v>45411</v>
      </c>
      <c r="H324" s="16">
        <v>0.83333333333333337</v>
      </c>
      <c r="I324" s="17">
        <v>61.61</v>
      </c>
      <c r="J324" s="17">
        <v>21.7</v>
      </c>
      <c r="K324" s="17">
        <v>452.72</v>
      </c>
      <c r="L324" s="12"/>
    </row>
    <row r="325" spans="1:12" ht="16" x14ac:dyDescent="0.2">
      <c r="A325" s="7"/>
      <c r="B325" s="7"/>
      <c r="G325" s="15">
        <v>45411</v>
      </c>
      <c r="H325" s="16">
        <v>0.875</v>
      </c>
      <c r="I325" s="17">
        <v>62.46</v>
      </c>
      <c r="J325" s="17">
        <v>20.67</v>
      </c>
      <c r="K325" s="17">
        <v>460.22</v>
      </c>
      <c r="L325" s="12"/>
    </row>
    <row r="326" spans="1:12" ht="16" x14ac:dyDescent="0.2">
      <c r="A326" s="7"/>
      <c r="B326" s="7"/>
      <c r="G326" s="15">
        <v>45411</v>
      </c>
      <c r="H326" s="16">
        <v>0.91666666666666663</v>
      </c>
      <c r="I326" s="17">
        <v>63.32</v>
      </c>
      <c r="J326" s="17">
        <v>20.059999999999999</v>
      </c>
      <c r="K326" s="17">
        <v>467.92</v>
      </c>
      <c r="L326" s="12"/>
    </row>
    <row r="327" spans="1:12" ht="16" x14ac:dyDescent="0.2">
      <c r="A327" s="7"/>
      <c r="B327" s="7"/>
      <c r="G327" s="15">
        <v>45411</v>
      </c>
      <c r="H327" s="16">
        <v>0.95833333333333337</v>
      </c>
      <c r="I327" s="17">
        <v>64.16</v>
      </c>
      <c r="J327" s="17">
        <v>19.43</v>
      </c>
      <c r="K327" s="17">
        <v>473.09</v>
      </c>
      <c r="L327" s="12"/>
    </row>
    <row r="328" spans="1:12" ht="16" x14ac:dyDescent="0.2">
      <c r="A328" s="7"/>
      <c r="B328" s="7"/>
      <c r="G328" s="15">
        <v>45412</v>
      </c>
      <c r="H328" s="16">
        <v>0</v>
      </c>
      <c r="I328" s="17">
        <v>64.98</v>
      </c>
      <c r="J328" s="17">
        <v>18.97</v>
      </c>
      <c r="K328" s="17">
        <v>476.01</v>
      </c>
      <c r="L328" s="12"/>
    </row>
    <row r="329" spans="1:12" ht="16" x14ac:dyDescent="0.2">
      <c r="A329" s="7"/>
      <c r="B329" s="7"/>
      <c r="G329" s="15">
        <v>45412</v>
      </c>
      <c r="H329" s="16">
        <v>4.1666666666666664E-2</v>
      </c>
      <c r="I329" s="17">
        <v>65.569999999999993</v>
      </c>
      <c r="J329" s="17">
        <v>18.55</v>
      </c>
      <c r="K329" s="17">
        <v>475.3</v>
      </c>
      <c r="L329" s="12"/>
    </row>
    <row r="330" spans="1:12" ht="16" x14ac:dyDescent="0.2">
      <c r="A330" s="7"/>
      <c r="B330" s="7"/>
      <c r="G330" s="15">
        <v>45412</v>
      </c>
      <c r="H330" s="16">
        <v>8.3333333333333329E-2</v>
      </c>
      <c r="I330" s="17">
        <v>65.569999999999993</v>
      </c>
      <c r="J330" s="17">
        <v>18.78</v>
      </c>
      <c r="K330" s="17">
        <v>470.56</v>
      </c>
      <c r="L330" s="12"/>
    </row>
    <row r="331" spans="1:12" ht="16" x14ac:dyDescent="0.2">
      <c r="A331" s="7"/>
      <c r="B331" s="7"/>
      <c r="G331" s="15">
        <v>45412</v>
      </c>
      <c r="H331" s="16">
        <v>0.125</v>
      </c>
      <c r="I331" s="17">
        <v>66.22</v>
      </c>
      <c r="J331" s="17">
        <v>18.46</v>
      </c>
      <c r="K331" s="17">
        <v>473.4</v>
      </c>
      <c r="L331" s="12"/>
    </row>
    <row r="332" spans="1:12" ht="16" x14ac:dyDescent="0.2">
      <c r="A332" s="7"/>
      <c r="B332" s="7"/>
      <c r="G332" s="15">
        <v>45412</v>
      </c>
      <c r="H332" s="16">
        <v>0.16666666666666666</v>
      </c>
      <c r="I332" s="17">
        <v>66.22</v>
      </c>
      <c r="J332" s="17">
        <v>19.22</v>
      </c>
      <c r="K332" s="17">
        <v>473.46</v>
      </c>
      <c r="L332" s="12"/>
    </row>
    <row r="333" spans="1:12" ht="16" x14ac:dyDescent="0.2">
      <c r="A333" s="7"/>
      <c r="B333" s="7"/>
      <c r="G333" s="15">
        <v>45412</v>
      </c>
      <c r="H333" s="16">
        <v>0.20833333333333334</v>
      </c>
      <c r="I333" s="17">
        <v>66.45</v>
      </c>
      <c r="J333" s="17">
        <v>19.420000000000002</v>
      </c>
      <c r="K333" s="17">
        <v>470.33</v>
      </c>
      <c r="L333" s="12"/>
    </row>
    <row r="334" spans="1:12" ht="16" x14ac:dyDescent="0.2">
      <c r="A334" s="7"/>
      <c r="B334" s="7"/>
      <c r="G334" s="15">
        <v>45412</v>
      </c>
      <c r="H334" s="16">
        <v>0.25</v>
      </c>
      <c r="I334" s="17">
        <v>66.849999999999994</v>
      </c>
      <c r="J334" s="17">
        <v>19.46</v>
      </c>
      <c r="K334" s="17">
        <v>468.54</v>
      </c>
      <c r="L334" s="12"/>
    </row>
    <row r="335" spans="1:12" ht="16" x14ac:dyDescent="0.2">
      <c r="A335" s="7"/>
      <c r="B335" s="7"/>
      <c r="G335" s="15">
        <v>45412</v>
      </c>
      <c r="H335" s="16">
        <v>0.29166666666666669</v>
      </c>
      <c r="I335" s="17">
        <v>66.37</v>
      </c>
      <c r="J335" s="17">
        <v>21.2</v>
      </c>
      <c r="K335" s="17">
        <v>467.81</v>
      </c>
      <c r="L335" s="12"/>
    </row>
    <row r="336" spans="1:12" ht="16" x14ac:dyDescent="0.2">
      <c r="A336" s="7"/>
      <c r="B336" s="7"/>
      <c r="G336" s="15">
        <v>45412</v>
      </c>
      <c r="H336" s="16">
        <v>0.33333333333333331</v>
      </c>
      <c r="I336" s="17">
        <v>63.93</v>
      </c>
      <c r="J336" s="17">
        <v>24.42</v>
      </c>
      <c r="K336" s="17">
        <v>461.81</v>
      </c>
      <c r="L336" s="12"/>
    </row>
    <row r="337" spans="1:12" ht="16" x14ac:dyDescent="0.2">
      <c r="A337" s="7"/>
      <c r="B337" s="7"/>
      <c r="G337" s="15">
        <v>45412</v>
      </c>
      <c r="H337" s="16">
        <v>0.375</v>
      </c>
      <c r="I337" s="17">
        <v>61.12</v>
      </c>
      <c r="J337" s="17">
        <v>25.15</v>
      </c>
      <c r="K337" s="17">
        <v>454.8</v>
      </c>
      <c r="L337" s="12"/>
    </row>
    <row r="338" spans="1:12" ht="16" x14ac:dyDescent="0.2">
      <c r="A338" s="7"/>
      <c r="B338" s="7"/>
      <c r="G338" s="15">
        <v>45412</v>
      </c>
      <c r="H338" s="16">
        <v>0.41666666666666669</v>
      </c>
      <c r="I338" s="17">
        <v>60.1</v>
      </c>
      <c r="J338" s="17">
        <v>24.32</v>
      </c>
      <c r="K338" s="17">
        <v>452.01</v>
      </c>
      <c r="L338" s="12"/>
    </row>
    <row r="339" spans="1:12" ht="16" x14ac:dyDescent="0.2">
      <c r="A339" s="7"/>
      <c r="B339" s="7"/>
      <c r="G339" s="15">
        <v>45412</v>
      </c>
      <c r="H339" s="16">
        <v>0.45833333333333331</v>
      </c>
      <c r="I339" s="17">
        <v>58.72</v>
      </c>
      <c r="J339" s="17">
        <v>23.38</v>
      </c>
      <c r="K339" s="17">
        <v>447.88</v>
      </c>
      <c r="L339" s="12"/>
    </row>
    <row r="340" spans="1:12" ht="16" x14ac:dyDescent="0.2">
      <c r="A340" s="7"/>
      <c r="B340" s="7"/>
      <c r="G340" s="15">
        <v>45412</v>
      </c>
      <c r="H340" s="16">
        <v>0.5</v>
      </c>
      <c r="I340" s="17">
        <v>57.69</v>
      </c>
      <c r="J340" s="17">
        <v>23.74</v>
      </c>
      <c r="K340" s="17">
        <v>445.68</v>
      </c>
      <c r="L340" s="12"/>
    </row>
    <row r="341" spans="1:12" ht="16" x14ac:dyDescent="0.2">
      <c r="A341" s="7"/>
      <c r="B341" s="7"/>
      <c r="G341" s="15">
        <v>45412</v>
      </c>
      <c r="H341" s="16">
        <v>0.54166666666666663</v>
      </c>
      <c r="I341" s="17">
        <v>57.14</v>
      </c>
      <c r="J341" s="17">
        <v>24.38</v>
      </c>
      <c r="K341" s="17">
        <v>442.57</v>
      </c>
      <c r="L341" s="12"/>
    </row>
    <row r="342" spans="1:12" ht="16" x14ac:dyDescent="0.2">
      <c r="A342" s="7"/>
      <c r="B342" s="7"/>
      <c r="G342" s="15">
        <v>45412</v>
      </c>
      <c r="H342" s="16">
        <v>0.58333333333333337</v>
      </c>
      <c r="I342" s="17">
        <v>57.39</v>
      </c>
      <c r="J342" s="17">
        <v>24.31</v>
      </c>
      <c r="K342" s="17">
        <v>440.96</v>
      </c>
      <c r="L342" s="12"/>
    </row>
    <row r="343" spans="1:12" ht="16" x14ac:dyDescent="0.2">
      <c r="A343" s="7"/>
      <c r="B343" s="7"/>
      <c r="G343" s="15">
        <v>45412</v>
      </c>
      <c r="H343" s="16">
        <v>0.625</v>
      </c>
      <c r="I343" s="17">
        <v>58.01</v>
      </c>
      <c r="J343" s="17">
        <v>23.49</v>
      </c>
      <c r="K343" s="17">
        <v>436.18</v>
      </c>
      <c r="L343" s="12"/>
    </row>
    <row r="344" spans="1:12" ht="16" x14ac:dyDescent="0.2">
      <c r="A344" s="7"/>
      <c r="B344" s="7"/>
      <c r="G344" s="15">
        <v>45412</v>
      </c>
      <c r="H344" s="16">
        <v>0.66666666666666663</v>
      </c>
      <c r="I344" s="17">
        <v>58.58</v>
      </c>
      <c r="J344" s="17">
        <v>24.07</v>
      </c>
      <c r="K344" s="17">
        <v>434.51</v>
      </c>
      <c r="L344" s="12"/>
    </row>
    <row r="345" spans="1:12" ht="16" x14ac:dyDescent="0.2">
      <c r="A345" s="7"/>
      <c r="B345" s="7"/>
      <c r="G345" s="15">
        <v>45412</v>
      </c>
      <c r="H345" s="16">
        <v>0.70833333333333337</v>
      </c>
      <c r="I345" s="17">
        <v>58.8</v>
      </c>
      <c r="J345" s="17">
        <v>26.11</v>
      </c>
      <c r="K345" s="17">
        <v>432.29</v>
      </c>
      <c r="L345" s="12"/>
    </row>
    <row r="346" spans="1:12" ht="16" x14ac:dyDescent="0.2">
      <c r="A346" s="7"/>
      <c r="B346" s="7"/>
      <c r="G346" s="15">
        <v>45412</v>
      </c>
      <c r="H346" s="16">
        <v>0.75</v>
      </c>
      <c r="I346" s="17">
        <v>58.54</v>
      </c>
      <c r="J346" s="17">
        <v>26.36</v>
      </c>
      <c r="K346" s="17">
        <v>436.98</v>
      </c>
      <c r="L346" s="12"/>
    </row>
    <row r="347" spans="1:12" ht="16" x14ac:dyDescent="0.2">
      <c r="A347" s="7"/>
      <c r="B347" s="7"/>
      <c r="G347" s="15">
        <v>45412</v>
      </c>
      <c r="H347" s="16">
        <v>0.79166666666666663</v>
      </c>
      <c r="I347" s="17">
        <v>60</v>
      </c>
      <c r="J347" s="17">
        <v>23.85</v>
      </c>
      <c r="K347" s="17">
        <v>436.82</v>
      </c>
      <c r="L347" s="12"/>
    </row>
    <row r="348" spans="1:12" ht="16" x14ac:dyDescent="0.2">
      <c r="A348" s="7"/>
      <c r="B348" s="7"/>
      <c r="G348" s="15">
        <v>45412</v>
      </c>
      <c r="H348" s="16">
        <v>0.83333333333333337</v>
      </c>
      <c r="I348" s="17">
        <v>61.73</v>
      </c>
      <c r="J348" s="17">
        <v>22.26</v>
      </c>
      <c r="K348" s="17">
        <v>439.47</v>
      </c>
      <c r="L348" s="12"/>
    </row>
    <row r="349" spans="1:12" ht="16" x14ac:dyDescent="0.2">
      <c r="A349" s="7"/>
      <c r="B349" s="7"/>
      <c r="G349" s="15">
        <v>45412</v>
      </c>
      <c r="H349" s="16">
        <v>0.875</v>
      </c>
      <c r="I349" s="17">
        <v>63.1</v>
      </c>
      <c r="J349" s="17">
        <v>21.82</v>
      </c>
      <c r="K349" s="17">
        <v>447.88</v>
      </c>
      <c r="L349" s="12"/>
    </row>
    <row r="350" spans="1:12" ht="16" x14ac:dyDescent="0.2">
      <c r="A350" s="7"/>
      <c r="B350" s="7"/>
      <c r="G350" s="15">
        <v>45412</v>
      </c>
      <c r="H350" s="16">
        <v>0.91666666666666663</v>
      </c>
      <c r="I350" s="17">
        <v>64.040000000000006</v>
      </c>
      <c r="J350" s="17">
        <v>21.3</v>
      </c>
      <c r="K350" s="17">
        <v>452.44</v>
      </c>
      <c r="L350" s="12"/>
    </row>
    <row r="351" spans="1:12" ht="16" x14ac:dyDescent="0.2">
      <c r="A351" s="7"/>
      <c r="B351" s="7"/>
      <c r="G351" s="15">
        <v>45412</v>
      </c>
      <c r="H351" s="16">
        <v>0.95833333333333337</v>
      </c>
      <c r="I351" s="17">
        <v>64.73</v>
      </c>
      <c r="J351" s="17">
        <v>21.5</v>
      </c>
      <c r="K351" s="17">
        <v>453.83</v>
      </c>
      <c r="L351" s="12"/>
    </row>
    <row r="352" spans="1:12" ht="16" x14ac:dyDescent="0.2">
      <c r="A352" s="7"/>
      <c r="B352" s="7"/>
      <c r="G352" s="15">
        <v>45413</v>
      </c>
      <c r="H352" s="16">
        <v>0</v>
      </c>
      <c r="I352" s="17">
        <v>65.13</v>
      </c>
      <c r="J352" s="17">
        <v>21.27</v>
      </c>
      <c r="K352" s="17">
        <v>453.91</v>
      </c>
      <c r="L352" s="12"/>
    </row>
    <row r="353" spans="1:12" ht="16" x14ac:dyDescent="0.2">
      <c r="A353" s="7"/>
      <c r="B353" s="7"/>
      <c r="G353" s="15">
        <v>45413</v>
      </c>
      <c r="H353" s="16">
        <v>4.1666666666666664E-2</v>
      </c>
      <c r="I353" s="17">
        <v>65.23</v>
      </c>
      <c r="J353" s="17">
        <v>20.95</v>
      </c>
      <c r="K353" s="17">
        <v>453.47</v>
      </c>
      <c r="L353" s="12"/>
    </row>
    <row r="354" spans="1:12" ht="16" x14ac:dyDescent="0.2">
      <c r="A354" s="7"/>
      <c r="B354" s="7"/>
      <c r="G354" s="15">
        <v>45413</v>
      </c>
      <c r="H354" s="16">
        <v>8.3333333333333329E-2</v>
      </c>
      <c r="I354" s="17">
        <v>65.56</v>
      </c>
      <c r="J354" s="17">
        <v>19.86</v>
      </c>
      <c r="K354" s="17">
        <v>455.63</v>
      </c>
      <c r="L354" s="12"/>
    </row>
    <row r="355" spans="1:12" ht="16" x14ac:dyDescent="0.2">
      <c r="A355" s="7"/>
      <c r="B355" s="7"/>
      <c r="G355" s="15">
        <v>45413</v>
      </c>
      <c r="H355" s="16">
        <v>0.125</v>
      </c>
      <c r="I355" s="17">
        <v>66.12</v>
      </c>
      <c r="J355" s="17">
        <v>18.940000000000001</v>
      </c>
      <c r="K355" s="17">
        <v>457.85</v>
      </c>
      <c r="L355" s="12"/>
    </row>
    <row r="356" spans="1:12" ht="16" x14ac:dyDescent="0.2">
      <c r="A356" s="7"/>
      <c r="B356" s="7"/>
      <c r="G356" s="15">
        <v>45413</v>
      </c>
      <c r="H356" s="16">
        <v>0.16666666666666666</v>
      </c>
      <c r="I356" s="17">
        <v>66.48</v>
      </c>
      <c r="J356" s="17">
        <v>18.760000000000002</v>
      </c>
      <c r="K356" s="17">
        <v>464.87</v>
      </c>
      <c r="L356" s="12"/>
    </row>
    <row r="357" spans="1:12" ht="16" x14ac:dyDescent="0.2">
      <c r="A357" s="7"/>
      <c r="B357" s="7"/>
      <c r="G357" s="15">
        <v>45413</v>
      </c>
      <c r="H357" s="16">
        <v>0.20833333333333334</v>
      </c>
      <c r="I357" s="17">
        <v>66.53</v>
      </c>
      <c r="J357" s="17">
        <v>18.46</v>
      </c>
      <c r="K357" s="17">
        <v>468.97</v>
      </c>
      <c r="L357" s="12"/>
    </row>
    <row r="358" spans="1:12" ht="16" x14ac:dyDescent="0.2">
      <c r="A358" s="7"/>
      <c r="B358" s="7"/>
      <c r="G358" s="15">
        <v>45413</v>
      </c>
      <c r="H358" s="16">
        <v>0.25</v>
      </c>
      <c r="I358" s="17">
        <v>67.61</v>
      </c>
      <c r="J358" s="17">
        <v>18.52</v>
      </c>
      <c r="K358" s="17">
        <v>471.67</v>
      </c>
      <c r="L358" s="12"/>
    </row>
    <row r="359" spans="1:12" ht="16" x14ac:dyDescent="0.2">
      <c r="A359" s="7"/>
      <c r="B359" s="7"/>
      <c r="G359" s="15">
        <v>45413</v>
      </c>
      <c r="H359" s="16">
        <v>0.29166666666666669</v>
      </c>
      <c r="I359" s="17">
        <v>67.8</v>
      </c>
      <c r="J359" s="17">
        <v>21.38</v>
      </c>
      <c r="K359" s="17">
        <v>474.39</v>
      </c>
      <c r="L359" s="12"/>
    </row>
    <row r="360" spans="1:12" ht="16" x14ac:dyDescent="0.2">
      <c r="A360" s="7"/>
      <c r="B360" s="7"/>
      <c r="G360" s="15">
        <v>45413</v>
      </c>
      <c r="H360" s="16">
        <v>0.33333333333333331</v>
      </c>
      <c r="I360" s="17">
        <v>66.760000000000005</v>
      </c>
      <c r="J360" s="17">
        <v>24.18</v>
      </c>
      <c r="K360" s="17">
        <v>468.71</v>
      </c>
      <c r="L360" s="12"/>
    </row>
    <row r="361" spans="1:12" ht="16" x14ac:dyDescent="0.2">
      <c r="A361" s="7"/>
      <c r="B361" s="7"/>
      <c r="G361" s="15">
        <v>45413</v>
      </c>
      <c r="H361" s="16">
        <v>0.375</v>
      </c>
      <c r="I361" s="17">
        <v>63.73</v>
      </c>
      <c r="J361" s="17">
        <v>24.92</v>
      </c>
      <c r="K361" s="17">
        <v>463.68</v>
      </c>
      <c r="L361" s="12"/>
    </row>
    <row r="362" spans="1:12" ht="16" x14ac:dyDescent="0.2">
      <c r="A362" s="7"/>
      <c r="B362" s="7"/>
      <c r="G362" s="15">
        <v>45413</v>
      </c>
      <c r="H362" s="16">
        <v>0.41666666666666669</v>
      </c>
      <c r="I362" s="17">
        <v>61.9</v>
      </c>
      <c r="J362" s="17">
        <v>23.59</v>
      </c>
      <c r="K362" s="17">
        <v>455</v>
      </c>
      <c r="L362" s="12"/>
    </row>
    <row r="363" spans="1:12" ht="16" x14ac:dyDescent="0.2">
      <c r="A363" s="7"/>
      <c r="B363" s="7"/>
      <c r="G363" s="15">
        <v>45413</v>
      </c>
      <c r="H363" s="16">
        <v>0.45833333333333331</v>
      </c>
      <c r="I363" s="17">
        <v>60.21</v>
      </c>
      <c r="J363" s="17">
        <v>23.76</v>
      </c>
      <c r="K363" s="17">
        <v>452.85</v>
      </c>
      <c r="L363" s="12"/>
    </row>
    <row r="364" spans="1:12" ht="16" x14ac:dyDescent="0.2">
      <c r="A364" s="7"/>
      <c r="B364" s="7"/>
      <c r="G364" s="15">
        <v>45413</v>
      </c>
      <c r="H364" s="16">
        <v>0.5</v>
      </c>
      <c r="I364" s="17">
        <v>58.25</v>
      </c>
      <c r="J364" s="17">
        <v>24.7</v>
      </c>
      <c r="K364" s="17">
        <v>448.17</v>
      </c>
      <c r="L364" s="12"/>
    </row>
    <row r="365" spans="1:12" ht="16" x14ac:dyDescent="0.2">
      <c r="A365" s="7"/>
      <c r="B365" s="7"/>
      <c r="G365" s="15">
        <v>45413</v>
      </c>
      <c r="H365" s="16">
        <v>0.54166666666666663</v>
      </c>
      <c r="I365" s="17">
        <v>57.47</v>
      </c>
      <c r="J365" s="17">
        <v>24.98</v>
      </c>
      <c r="K365" s="17">
        <v>444.01</v>
      </c>
      <c r="L365" s="12"/>
    </row>
    <row r="366" spans="1:12" ht="16" x14ac:dyDescent="0.2">
      <c r="A366" s="7"/>
      <c r="B366" s="7"/>
      <c r="G366" s="15">
        <v>45413</v>
      </c>
      <c r="H366" s="16">
        <v>0.58333333333333337</v>
      </c>
      <c r="I366" s="17">
        <v>57.42</v>
      </c>
      <c r="J366" s="17">
        <v>25.03</v>
      </c>
      <c r="K366" s="17">
        <v>443.93</v>
      </c>
      <c r="L366" s="12"/>
    </row>
    <row r="367" spans="1:12" ht="16" x14ac:dyDescent="0.2">
      <c r="A367" s="7"/>
      <c r="B367" s="7"/>
      <c r="G367" s="15">
        <v>45413</v>
      </c>
      <c r="H367" s="16">
        <v>0.66666666666666663</v>
      </c>
      <c r="I367" s="17">
        <v>58.13</v>
      </c>
      <c r="J367" s="17">
        <v>24.5</v>
      </c>
      <c r="K367" s="17">
        <v>453.57</v>
      </c>
      <c r="L367" s="12"/>
    </row>
    <row r="368" spans="1:12" ht="16" x14ac:dyDescent="0.2">
      <c r="A368" s="7"/>
      <c r="B368" s="7"/>
      <c r="G368" s="15">
        <v>45413</v>
      </c>
      <c r="H368" s="16">
        <v>0.70833333333333337</v>
      </c>
      <c r="I368" s="17">
        <v>60.57</v>
      </c>
      <c r="J368" s="17">
        <v>23.87</v>
      </c>
      <c r="K368" s="17">
        <v>442.28</v>
      </c>
      <c r="L368" s="12"/>
    </row>
    <row r="369" spans="1:12" ht="16" x14ac:dyDescent="0.2">
      <c r="A369" s="7"/>
      <c r="B369" s="7"/>
      <c r="G369" s="15">
        <v>45413</v>
      </c>
      <c r="H369" s="16">
        <v>0.75</v>
      </c>
      <c r="I369" s="17">
        <v>60.54</v>
      </c>
      <c r="J369" s="17">
        <v>26.3</v>
      </c>
      <c r="K369" s="17">
        <v>445.61</v>
      </c>
      <c r="L369" s="12"/>
    </row>
    <row r="370" spans="1:12" ht="16" x14ac:dyDescent="0.2">
      <c r="A370" s="7"/>
      <c r="B370" s="7"/>
      <c r="G370" s="15">
        <v>45413</v>
      </c>
      <c r="H370" s="16">
        <v>0.79166666666666663</v>
      </c>
      <c r="I370" s="17">
        <v>61.36</v>
      </c>
      <c r="J370" s="17">
        <v>26.2</v>
      </c>
      <c r="K370" s="17">
        <v>448.88</v>
      </c>
      <c r="L370" s="12"/>
    </row>
    <row r="371" spans="1:12" ht="16" x14ac:dyDescent="0.2">
      <c r="A371" s="7"/>
      <c r="B371" s="7"/>
      <c r="G371" s="15">
        <v>45413</v>
      </c>
      <c r="H371" s="16">
        <v>0.83333333333333337</v>
      </c>
      <c r="I371" s="17">
        <v>62.88</v>
      </c>
      <c r="J371" s="17">
        <v>24.41</v>
      </c>
      <c r="K371" s="17">
        <v>452.13</v>
      </c>
      <c r="L371" s="12"/>
    </row>
    <row r="372" spans="1:12" ht="16" x14ac:dyDescent="0.2">
      <c r="A372" s="7"/>
      <c r="B372" s="7"/>
      <c r="G372" s="15">
        <v>45413</v>
      </c>
      <c r="H372" s="16">
        <v>0.875</v>
      </c>
      <c r="I372" s="17">
        <v>63.74</v>
      </c>
      <c r="J372" s="17">
        <v>23.05</v>
      </c>
      <c r="K372" s="17">
        <v>451.51</v>
      </c>
      <c r="L372" s="12"/>
    </row>
    <row r="373" spans="1:12" ht="16" x14ac:dyDescent="0.2">
      <c r="A373" s="7"/>
      <c r="B373" s="7"/>
      <c r="G373" s="15">
        <v>45413</v>
      </c>
      <c r="H373" s="16">
        <v>0.91666666666666663</v>
      </c>
      <c r="I373" s="17">
        <v>64.900000000000006</v>
      </c>
      <c r="J373" s="17">
        <v>22.29</v>
      </c>
      <c r="K373" s="17">
        <v>458.15</v>
      </c>
      <c r="L373" s="12"/>
    </row>
    <row r="374" spans="1:12" ht="16" x14ac:dyDescent="0.2">
      <c r="A374" s="7"/>
      <c r="B374" s="7"/>
      <c r="G374" s="15">
        <v>45413</v>
      </c>
      <c r="H374" s="16">
        <v>0.95833333333333337</v>
      </c>
      <c r="I374" s="17">
        <v>65.61</v>
      </c>
      <c r="J374" s="17">
        <v>21.49</v>
      </c>
      <c r="K374" s="17">
        <v>465.52</v>
      </c>
      <c r="L374" s="12"/>
    </row>
    <row r="375" spans="1:12" ht="16" x14ac:dyDescent="0.2">
      <c r="A375" s="7"/>
      <c r="B375" s="7"/>
      <c r="G375" s="15">
        <v>45414</v>
      </c>
      <c r="H375" s="16">
        <v>0</v>
      </c>
      <c r="I375" s="17">
        <v>66.38</v>
      </c>
      <c r="J375" s="17">
        <v>20.77</v>
      </c>
      <c r="K375" s="17">
        <v>473.3</v>
      </c>
      <c r="L375" s="12"/>
    </row>
    <row r="376" spans="1:12" ht="16" x14ac:dyDescent="0.2">
      <c r="A376" s="7"/>
      <c r="B376" s="7"/>
      <c r="G376" s="15">
        <v>45414</v>
      </c>
      <c r="H376" s="16">
        <v>4.1666666666666664E-2</v>
      </c>
      <c r="I376" s="17">
        <v>66.900000000000006</v>
      </c>
      <c r="J376" s="17">
        <v>20.22</v>
      </c>
      <c r="K376" s="17">
        <v>479.19</v>
      </c>
      <c r="L376" s="12"/>
    </row>
    <row r="377" spans="1:12" ht="16" x14ac:dyDescent="0.2">
      <c r="A377" s="7"/>
      <c r="B377" s="7"/>
      <c r="G377" s="15">
        <v>45414</v>
      </c>
      <c r="H377" s="16">
        <v>8.3333333333333329E-2</v>
      </c>
      <c r="I377" s="17">
        <v>66.91</v>
      </c>
      <c r="J377" s="17">
        <v>19.59</v>
      </c>
      <c r="K377" s="17">
        <v>476.53</v>
      </c>
      <c r="L377" s="12"/>
    </row>
    <row r="378" spans="1:12" ht="16" x14ac:dyDescent="0.2">
      <c r="A378" s="7"/>
      <c r="B378" s="7"/>
      <c r="G378" s="15">
        <v>45414</v>
      </c>
      <c r="H378" s="16">
        <v>0.125</v>
      </c>
      <c r="I378" s="17">
        <v>67.09</v>
      </c>
      <c r="J378" s="17">
        <v>19.23</v>
      </c>
      <c r="K378" s="17">
        <v>476.11</v>
      </c>
      <c r="L378" s="12"/>
    </row>
    <row r="379" spans="1:12" ht="16" x14ac:dyDescent="0.2">
      <c r="A379" s="7"/>
      <c r="B379" s="7"/>
      <c r="G379" s="15">
        <v>45414</v>
      </c>
      <c r="H379" s="16">
        <v>0.16666666666666666</v>
      </c>
      <c r="I379" s="17">
        <v>67.72</v>
      </c>
      <c r="J379" s="17">
        <v>19.239999999999998</v>
      </c>
      <c r="K379" s="17">
        <v>476.54</v>
      </c>
      <c r="L379" s="12"/>
    </row>
    <row r="380" spans="1:12" ht="16" x14ac:dyDescent="0.2">
      <c r="A380" s="7"/>
      <c r="B380" s="7"/>
      <c r="G380" s="15">
        <v>45414</v>
      </c>
      <c r="H380" s="16">
        <v>0.20833333333333334</v>
      </c>
      <c r="I380" s="17">
        <v>68.14</v>
      </c>
      <c r="J380" s="17">
        <v>19.66</v>
      </c>
      <c r="K380" s="17">
        <v>477.95</v>
      </c>
      <c r="L380" s="12"/>
    </row>
    <row r="381" spans="1:12" ht="16" x14ac:dyDescent="0.2">
      <c r="A381" s="7"/>
      <c r="B381" s="7"/>
      <c r="G381" s="15">
        <v>45414</v>
      </c>
      <c r="H381" s="16">
        <v>0.25</v>
      </c>
      <c r="I381" s="17">
        <v>68.23</v>
      </c>
      <c r="J381" s="17">
        <v>19.71</v>
      </c>
      <c r="K381" s="17">
        <v>474.58</v>
      </c>
      <c r="L381" s="12"/>
    </row>
    <row r="382" spans="1:12" ht="16" x14ac:dyDescent="0.2">
      <c r="A382" s="7"/>
      <c r="B382" s="7"/>
      <c r="G382" s="15">
        <v>45414</v>
      </c>
      <c r="H382" s="16">
        <v>0.29166666666666669</v>
      </c>
      <c r="I382" s="17">
        <v>68.39</v>
      </c>
      <c r="J382" s="17">
        <v>21.77</v>
      </c>
      <c r="K382" s="17">
        <v>470.17</v>
      </c>
      <c r="L382" s="12"/>
    </row>
    <row r="383" spans="1:12" ht="16" x14ac:dyDescent="0.2">
      <c r="A383" s="7"/>
      <c r="B383" s="7"/>
      <c r="G383" s="15">
        <v>45414</v>
      </c>
      <c r="H383" s="16">
        <v>0.33333333333333331</v>
      </c>
      <c r="I383" s="17">
        <v>66.430000000000007</v>
      </c>
      <c r="J383" s="17">
        <v>24.81</v>
      </c>
      <c r="K383" s="17">
        <v>457.43</v>
      </c>
      <c r="L383" s="12"/>
    </row>
    <row r="384" spans="1:12" ht="16" x14ac:dyDescent="0.2">
      <c r="A384" s="7"/>
      <c r="B384" s="7"/>
      <c r="G384" s="15">
        <v>45414</v>
      </c>
      <c r="H384" s="16">
        <v>0.375</v>
      </c>
      <c r="I384" s="17">
        <v>63.76</v>
      </c>
      <c r="J384" s="17">
        <v>25.19</v>
      </c>
      <c r="K384" s="17">
        <v>454.45</v>
      </c>
      <c r="L384" s="12"/>
    </row>
    <row r="385" spans="1:12" ht="16" x14ac:dyDescent="0.2">
      <c r="A385" s="7"/>
      <c r="B385" s="7"/>
      <c r="G385" s="15">
        <v>45414</v>
      </c>
      <c r="H385" s="16">
        <v>0.41666666666666669</v>
      </c>
      <c r="I385" s="17">
        <v>61.58</v>
      </c>
      <c r="J385" s="17">
        <v>24.28</v>
      </c>
      <c r="K385" s="17">
        <v>449.52</v>
      </c>
      <c r="L385" s="12"/>
    </row>
    <row r="386" spans="1:12" ht="16" x14ac:dyDescent="0.2">
      <c r="A386" s="7"/>
      <c r="B386" s="7"/>
      <c r="G386" s="15">
        <v>45414</v>
      </c>
      <c r="H386" s="16">
        <v>0.45833333333333331</v>
      </c>
      <c r="I386" s="17">
        <v>59.56</v>
      </c>
      <c r="J386" s="17">
        <v>23.3</v>
      </c>
      <c r="K386" s="17">
        <v>453.85</v>
      </c>
      <c r="L386" s="12"/>
    </row>
    <row r="387" spans="1:12" ht="16" x14ac:dyDescent="0.2">
      <c r="A387" s="7"/>
      <c r="B387" s="7"/>
      <c r="G387" s="15">
        <v>45414</v>
      </c>
      <c r="H387" s="16">
        <v>0.5</v>
      </c>
      <c r="I387" s="17">
        <v>58.52</v>
      </c>
      <c r="J387" s="17">
        <v>24.35</v>
      </c>
      <c r="K387" s="17">
        <v>451.29</v>
      </c>
      <c r="L387" s="12"/>
    </row>
    <row r="388" spans="1:12" ht="16" x14ac:dyDescent="0.2">
      <c r="A388" s="7"/>
      <c r="B388" s="7"/>
      <c r="G388" s="15">
        <v>45414</v>
      </c>
      <c r="H388" s="16">
        <v>0.54166666666666663</v>
      </c>
      <c r="I388" s="17">
        <v>57.42</v>
      </c>
      <c r="J388" s="17">
        <v>24.6</v>
      </c>
      <c r="K388" s="17">
        <v>447.35</v>
      </c>
      <c r="L388" s="12"/>
    </row>
    <row r="389" spans="1:12" ht="16" x14ac:dyDescent="0.2">
      <c r="A389" s="7"/>
      <c r="B389" s="7"/>
      <c r="G389" s="15">
        <v>45414</v>
      </c>
      <c r="H389" s="16">
        <v>0.58333333333333337</v>
      </c>
      <c r="I389" s="17">
        <v>57.49</v>
      </c>
      <c r="J389" s="17">
        <v>24.52</v>
      </c>
      <c r="K389" s="17">
        <v>446.11</v>
      </c>
      <c r="L389" s="12"/>
    </row>
    <row r="390" spans="1:12" ht="16" x14ac:dyDescent="0.2">
      <c r="A390" s="7"/>
      <c r="B390" s="7"/>
      <c r="G390" s="15">
        <v>45414</v>
      </c>
      <c r="H390" s="16">
        <v>0.625</v>
      </c>
      <c r="I390" s="17">
        <v>58.12</v>
      </c>
      <c r="J390" s="17">
        <v>23.96</v>
      </c>
      <c r="K390" s="17">
        <v>444.04</v>
      </c>
      <c r="L390" s="17"/>
    </row>
    <row r="391" spans="1:12" ht="16" x14ac:dyDescent="0.2">
      <c r="A391" s="7"/>
      <c r="B391" s="7"/>
      <c r="G391" s="15">
        <v>45414</v>
      </c>
      <c r="H391" s="16">
        <v>0.66666666666666663</v>
      </c>
      <c r="I391" s="17">
        <v>59.02</v>
      </c>
      <c r="J391" s="17">
        <v>23.84</v>
      </c>
      <c r="K391" s="17">
        <v>442.88</v>
      </c>
      <c r="L391" s="17"/>
    </row>
    <row r="392" spans="1:12" ht="16" x14ac:dyDescent="0.2">
      <c r="A392" s="7"/>
      <c r="B392" s="7"/>
      <c r="G392" s="15">
        <v>45414</v>
      </c>
      <c r="H392" s="16">
        <v>0.70833333333333337</v>
      </c>
      <c r="I392" s="17">
        <v>59.73</v>
      </c>
      <c r="J392" s="17">
        <v>23.59</v>
      </c>
      <c r="K392" s="17">
        <v>438.26</v>
      </c>
      <c r="L392" s="17"/>
    </row>
    <row r="393" spans="1:12" ht="16" x14ac:dyDescent="0.2">
      <c r="A393" s="7"/>
      <c r="B393" s="7"/>
      <c r="G393" s="15">
        <v>45414</v>
      </c>
      <c r="H393" s="16">
        <v>0.75</v>
      </c>
      <c r="I393" s="17">
        <v>61.13</v>
      </c>
      <c r="J393" s="17">
        <v>22.35</v>
      </c>
      <c r="K393" s="17">
        <v>439.25</v>
      </c>
      <c r="L393" s="17"/>
    </row>
    <row r="394" spans="1:12" ht="16" x14ac:dyDescent="0.2">
      <c r="A394" s="7"/>
      <c r="B394" s="7"/>
      <c r="G394" s="15">
        <v>45414</v>
      </c>
      <c r="H394" s="16">
        <v>0.79166666666666663</v>
      </c>
      <c r="I394" s="17">
        <v>61.3</v>
      </c>
      <c r="J394" s="17">
        <v>25.25</v>
      </c>
      <c r="K394" s="17">
        <v>446.88</v>
      </c>
      <c r="L394" s="17"/>
    </row>
    <row r="395" spans="1:12" ht="16" x14ac:dyDescent="0.2">
      <c r="A395" s="7"/>
      <c r="B395" s="7"/>
      <c r="G395" s="15">
        <v>45414</v>
      </c>
      <c r="H395" s="16">
        <v>0.83333333333333337</v>
      </c>
      <c r="I395" s="17">
        <v>62.71</v>
      </c>
      <c r="J395" s="17">
        <v>24.76</v>
      </c>
      <c r="K395" s="17">
        <v>451.25</v>
      </c>
      <c r="L395" s="17"/>
    </row>
    <row r="396" spans="1:12" ht="16" x14ac:dyDescent="0.2">
      <c r="A396" s="7"/>
      <c r="B396" s="7"/>
      <c r="G396" s="15">
        <v>45414</v>
      </c>
      <c r="H396" s="16">
        <v>0.875</v>
      </c>
      <c r="I396" s="17">
        <v>63.6</v>
      </c>
      <c r="J396" s="17">
        <v>23.98</v>
      </c>
      <c r="K396" s="17">
        <v>458.75</v>
      </c>
      <c r="L396" s="17"/>
    </row>
    <row r="397" spans="1:12" ht="16" x14ac:dyDescent="0.2">
      <c r="A397" s="7"/>
      <c r="B397" s="7"/>
      <c r="G397" s="15">
        <v>45414</v>
      </c>
      <c r="H397" s="16">
        <v>0.91666666666666663</v>
      </c>
      <c r="I397" s="17">
        <v>64.849999999999994</v>
      </c>
      <c r="J397" s="17">
        <v>22.96</v>
      </c>
      <c r="K397" s="17">
        <v>459.19</v>
      </c>
      <c r="L397" s="17"/>
    </row>
    <row r="398" spans="1:12" ht="16" x14ac:dyDescent="0.2">
      <c r="A398" s="7"/>
      <c r="B398" s="7"/>
      <c r="G398" s="15">
        <v>45414</v>
      </c>
      <c r="H398" s="16">
        <v>0.95833333333333337</v>
      </c>
      <c r="I398" s="17">
        <v>66.36</v>
      </c>
      <c r="J398" s="17">
        <v>22.12</v>
      </c>
      <c r="K398" s="17">
        <v>463.97</v>
      </c>
      <c r="L398" s="17"/>
    </row>
    <row r="399" spans="1:12" ht="16" x14ac:dyDescent="0.2">
      <c r="A399" s="7"/>
      <c r="B399" s="7"/>
      <c r="G399" s="15">
        <v>45415</v>
      </c>
      <c r="H399" s="16">
        <v>0</v>
      </c>
      <c r="I399" s="17">
        <v>67.319999999999993</v>
      </c>
      <c r="J399" s="17">
        <v>21.36</v>
      </c>
      <c r="K399" s="17">
        <v>474.28</v>
      </c>
      <c r="L399" s="17"/>
    </row>
    <row r="400" spans="1:12" ht="16" x14ac:dyDescent="0.2">
      <c r="A400" s="7"/>
      <c r="B400" s="7"/>
      <c r="G400" s="15">
        <v>45415</v>
      </c>
      <c r="H400" s="16">
        <v>4.1666666666666664E-2</v>
      </c>
      <c r="I400" s="17">
        <v>67.72</v>
      </c>
      <c r="J400" s="17">
        <v>20.9</v>
      </c>
      <c r="K400" s="17">
        <v>485.89</v>
      </c>
      <c r="L400" s="17"/>
    </row>
    <row r="401" spans="1:12" ht="16" x14ac:dyDescent="0.2">
      <c r="A401" s="7"/>
      <c r="B401" s="7"/>
      <c r="G401" s="15">
        <v>45415</v>
      </c>
      <c r="H401" s="16">
        <v>8.3333333333333329E-2</v>
      </c>
      <c r="I401" s="17">
        <v>67.92</v>
      </c>
      <c r="J401" s="17">
        <v>20.440000000000001</v>
      </c>
      <c r="K401" s="17">
        <v>501.99</v>
      </c>
      <c r="L401" s="17"/>
    </row>
    <row r="402" spans="1:12" ht="16" x14ac:dyDescent="0.2">
      <c r="A402" s="7"/>
      <c r="B402" s="7"/>
      <c r="G402" s="15">
        <v>45415</v>
      </c>
      <c r="H402" s="16">
        <v>0.125</v>
      </c>
      <c r="I402" s="17">
        <v>67.98</v>
      </c>
      <c r="J402" s="17">
        <v>19.97</v>
      </c>
      <c r="K402" s="17">
        <v>519.92999999999995</v>
      </c>
      <c r="L402" s="17"/>
    </row>
    <row r="403" spans="1:12" ht="16" x14ac:dyDescent="0.2">
      <c r="A403" s="7"/>
      <c r="B403" s="7"/>
      <c r="G403" s="15">
        <v>45415</v>
      </c>
      <c r="H403" s="16">
        <v>0.16666666666666666</v>
      </c>
      <c r="I403" s="17">
        <v>68.3</v>
      </c>
      <c r="J403" s="17">
        <v>19.8</v>
      </c>
      <c r="K403" s="17">
        <v>536.79999999999995</v>
      </c>
      <c r="L403" s="17"/>
    </row>
    <row r="404" spans="1:12" ht="16" x14ac:dyDescent="0.2">
      <c r="A404" s="7"/>
      <c r="B404" s="7"/>
      <c r="G404" s="15">
        <v>45415</v>
      </c>
      <c r="H404" s="16">
        <v>0.20833333333333334</v>
      </c>
      <c r="I404" s="17">
        <v>68.44</v>
      </c>
      <c r="J404" s="17">
        <v>19.399999999999999</v>
      </c>
      <c r="K404" s="17">
        <v>545.41</v>
      </c>
      <c r="L404" s="17"/>
    </row>
    <row r="405" spans="1:12" ht="16" x14ac:dyDescent="0.2">
      <c r="A405" s="7"/>
      <c r="B405" s="7"/>
      <c r="G405" s="15">
        <v>45415</v>
      </c>
      <c r="H405" s="16">
        <v>0.25</v>
      </c>
      <c r="I405" s="17">
        <v>68.69</v>
      </c>
      <c r="J405" s="17">
        <v>19.66</v>
      </c>
      <c r="K405" s="17">
        <v>559.16999999999996</v>
      </c>
      <c r="L405" s="17"/>
    </row>
    <row r="406" spans="1:12" ht="16" x14ac:dyDescent="0.2">
      <c r="A406" s="7"/>
      <c r="B406" s="7"/>
      <c r="G406" s="15">
        <v>45415</v>
      </c>
      <c r="H406" s="16">
        <v>0.29166666666666669</v>
      </c>
      <c r="I406" s="17">
        <v>68.62</v>
      </c>
      <c r="J406" s="17">
        <v>23.4</v>
      </c>
      <c r="K406" s="17">
        <v>557.46</v>
      </c>
      <c r="L406" s="17"/>
    </row>
    <row r="407" spans="1:12" ht="16" x14ac:dyDescent="0.2">
      <c r="A407" s="7"/>
      <c r="B407" s="7"/>
      <c r="G407" s="15">
        <v>45415</v>
      </c>
      <c r="H407" s="16">
        <v>0.33333333333333331</v>
      </c>
      <c r="I407" s="17">
        <v>66.260000000000005</v>
      </c>
      <c r="J407" s="17">
        <v>24.83</v>
      </c>
      <c r="K407" s="17">
        <v>531.14</v>
      </c>
      <c r="L407" s="17"/>
    </row>
    <row r="408" spans="1:12" ht="16" x14ac:dyDescent="0.2">
      <c r="A408" s="7"/>
      <c r="B408" s="7"/>
      <c r="G408" s="15">
        <v>45415</v>
      </c>
      <c r="H408" s="16">
        <v>0.375</v>
      </c>
      <c r="I408" s="17">
        <v>64.239999999999995</v>
      </c>
      <c r="J408" s="17">
        <v>24.02</v>
      </c>
      <c r="K408" s="17">
        <v>507</v>
      </c>
      <c r="L408" s="17"/>
    </row>
    <row r="409" spans="1:12" ht="16" x14ac:dyDescent="0.2">
      <c r="A409" s="7"/>
      <c r="B409" s="7"/>
      <c r="G409" s="15">
        <v>45415</v>
      </c>
      <c r="H409" s="16">
        <v>0.41666666666666669</v>
      </c>
      <c r="I409" s="17">
        <v>61.28</v>
      </c>
      <c r="J409" s="17">
        <v>23.83</v>
      </c>
      <c r="K409" s="17">
        <v>487.56</v>
      </c>
      <c r="L409" s="17"/>
    </row>
    <row r="410" spans="1:12" ht="16" x14ac:dyDescent="0.2">
      <c r="A410" s="7"/>
      <c r="B410" s="7"/>
      <c r="G410" s="15">
        <v>45415</v>
      </c>
      <c r="H410" s="16">
        <v>0.45833333333333331</v>
      </c>
      <c r="I410" s="17">
        <v>59.4</v>
      </c>
      <c r="J410" s="17">
        <v>24.67</v>
      </c>
      <c r="K410" s="17">
        <v>473.07</v>
      </c>
      <c r="L410" s="17"/>
    </row>
    <row r="411" spans="1:12" ht="16" x14ac:dyDescent="0.2">
      <c r="A411" s="7"/>
      <c r="B411" s="7"/>
      <c r="G411" s="15">
        <v>45415</v>
      </c>
      <c r="H411" s="16">
        <v>0.5</v>
      </c>
      <c r="I411" s="17">
        <v>57.46</v>
      </c>
      <c r="J411" s="17">
        <v>25.63</v>
      </c>
      <c r="K411" s="17">
        <v>461.89</v>
      </c>
      <c r="L411" s="17"/>
    </row>
    <row r="412" spans="1:12" ht="16" x14ac:dyDescent="0.2">
      <c r="A412" s="7"/>
      <c r="B412" s="7"/>
      <c r="G412" s="15">
        <v>45415</v>
      </c>
      <c r="H412" s="16">
        <v>0.54166666666666663</v>
      </c>
      <c r="I412" s="17">
        <v>56.98</v>
      </c>
      <c r="J412" s="17">
        <v>26.41</v>
      </c>
      <c r="K412" s="17">
        <v>452.01</v>
      </c>
      <c r="L412" s="17"/>
    </row>
    <row r="413" spans="1:12" ht="16" x14ac:dyDescent="0.2">
      <c r="A413" s="7"/>
      <c r="B413" s="7"/>
      <c r="G413" s="15">
        <v>45415</v>
      </c>
      <c r="H413" s="16">
        <v>0.58333333333333337</v>
      </c>
      <c r="I413" s="17">
        <v>56.65</v>
      </c>
      <c r="J413" s="17">
        <v>25.48</v>
      </c>
      <c r="K413" s="17">
        <v>446.06</v>
      </c>
      <c r="L413" s="17"/>
    </row>
    <row r="414" spans="1:12" ht="16" x14ac:dyDescent="0.2">
      <c r="A414" s="7"/>
      <c r="B414" s="7"/>
      <c r="G414" s="15">
        <v>45415</v>
      </c>
      <c r="H414" s="16">
        <v>0.625</v>
      </c>
      <c r="I414" s="17">
        <v>57.23</v>
      </c>
      <c r="J414" s="17">
        <v>24.54</v>
      </c>
      <c r="K414" s="17">
        <v>442.98</v>
      </c>
      <c r="L414" s="17"/>
    </row>
    <row r="415" spans="1:12" ht="16" x14ac:dyDescent="0.2">
      <c r="A415" s="7"/>
      <c r="B415" s="7"/>
      <c r="G415" s="15">
        <v>45415</v>
      </c>
      <c r="H415" s="16">
        <v>0.66666666666666663</v>
      </c>
      <c r="I415" s="17">
        <v>58.49</v>
      </c>
      <c r="J415" s="17">
        <v>23.37</v>
      </c>
      <c r="K415" s="17">
        <v>440.3</v>
      </c>
      <c r="L415" s="17"/>
    </row>
    <row r="416" spans="1:12" ht="16" x14ac:dyDescent="0.2">
      <c r="A416" s="7"/>
      <c r="B416" s="7"/>
      <c r="G416" s="15">
        <v>45415</v>
      </c>
      <c r="H416" s="16">
        <v>0.70833333333333337</v>
      </c>
      <c r="I416" s="17">
        <v>59.49</v>
      </c>
      <c r="J416" s="17">
        <v>23.41</v>
      </c>
      <c r="K416" s="17">
        <v>436.41</v>
      </c>
      <c r="L416" s="12"/>
    </row>
    <row r="417" spans="1:12" ht="16" x14ac:dyDescent="0.2">
      <c r="A417" s="7"/>
      <c r="B417" s="7"/>
      <c r="G417" s="15">
        <v>45415</v>
      </c>
      <c r="H417" s="16">
        <v>0.75</v>
      </c>
      <c r="I417" s="17">
        <v>61.25</v>
      </c>
      <c r="J417" s="17">
        <v>21</v>
      </c>
      <c r="K417" s="17">
        <v>436.59</v>
      </c>
      <c r="L417" s="12"/>
    </row>
    <row r="418" spans="1:12" ht="16" x14ac:dyDescent="0.2">
      <c r="A418" s="7"/>
      <c r="B418" s="7"/>
      <c r="G418" s="15">
        <v>45415</v>
      </c>
      <c r="H418" s="16">
        <v>0.79166666666666663</v>
      </c>
      <c r="I418" s="17">
        <v>62.07</v>
      </c>
      <c r="J418" s="17">
        <v>23.91</v>
      </c>
      <c r="K418" s="17">
        <v>445.32</v>
      </c>
      <c r="L418" s="12"/>
    </row>
    <row r="419" spans="1:12" ht="16" x14ac:dyDescent="0.2">
      <c r="A419" s="7"/>
      <c r="B419" s="7"/>
      <c r="G419" s="15">
        <v>45415</v>
      </c>
      <c r="H419" s="16">
        <v>0.83333333333333337</v>
      </c>
      <c r="I419" s="17">
        <v>62.87</v>
      </c>
      <c r="J419" s="17">
        <v>23.29</v>
      </c>
      <c r="K419" s="17">
        <v>447.69</v>
      </c>
      <c r="L419" s="12"/>
    </row>
    <row r="420" spans="1:12" ht="16" x14ac:dyDescent="0.2">
      <c r="A420" s="7"/>
      <c r="B420" s="7"/>
      <c r="G420" s="15">
        <v>45415</v>
      </c>
      <c r="H420" s="16">
        <v>0.875</v>
      </c>
      <c r="I420" s="17">
        <v>63.93</v>
      </c>
      <c r="J420" s="17">
        <v>22.39</v>
      </c>
      <c r="K420" s="17">
        <v>449.83</v>
      </c>
      <c r="L420" s="12"/>
    </row>
    <row r="421" spans="1:12" ht="16" x14ac:dyDescent="0.2">
      <c r="A421" s="7"/>
      <c r="B421" s="7"/>
      <c r="G421" s="15">
        <v>45415</v>
      </c>
      <c r="H421" s="16">
        <v>0.91666666666666663</v>
      </c>
      <c r="I421" s="17">
        <v>65.040000000000006</v>
      </c>
      <c r="J421" s="17">
        <v>21.85</v>
      </c>
      <c r="K421" s="17">
        <v>455.66</v>
      </c>
      <c r="L421" s="12"/>
    </row>
    <row r="422" spans="1:12" ht="16" x14ac:dyDescent="0.2">
      <c r="A422" s="7"/>
      <c r="B422" s="7"/>
      <c r="G422" s="15">
        <v>45415</v>
      </c>
      <c r="H422" s="16">
        <v>0.95833333333333337</v>
      </c>
      <c r="I422" s="17">
        <v>65.900000000000006</v>
      </c>
      <c r="J422" s="17">
        <v>21.24</v>
      </c>
      <c r="K422" s="17">
        <v>463.75</v>
      </c>
      <c r="L422" s="12"/>
    </row>
    <row r="423" spans="1:12" ht="16" x14ac:dyDescent="0.2">
      <c r="A423" s="7"/>
      <c r="B423" s="7"/>
      <c r="G423" s="15">
        <v>45416</v>
      </c>
      <c r="H423" s="16">
        <v>0</v>
      </c>
      <c r="I423" s="17">
        <v>66.37</v>
      </c>
      <c r="J423" s="17">
        <v>20.52</v>
      </c>
      <c r="K423" s="17">
        <v>468.05</v>
      </c>
      <c r="L423" s="12"/>
    </row>
    <row r="424" spans="1:12" ht="16" x14ac:dyDescent="0.2">
      <c r="A424" s="7"/>
      <c r="B424" s="7"/>
      <c r="G424" s="15">
        <v>45416</v>
      </c>
      <c r="H424" s="16">
        <v>4.1666666666666664E-2</v>
      </c>
      <c r="I424" s="17">
        <v>66.41</v>
      </c>
      <c r="J424" s="17">
        <v>19.66</v>
      </c>
      <c r="K424" s="17">
        <v>471.03</v>
      </c>
      <c r="L424" s="12"/>
    </row>
    <row r="425" spans="1:12" ht="16" x14ac:dyDescent="0.2">
      <c r="A425" s="7"/>
      <c r="B425" s="7"/>
      <c r="G425" s="15">
        <v>45416</v>
      </c>
      <c r="H425" s="16">
        <v>8.3333333333333329E-2</v>
      </c>
      <c r="I425" s="17">
        <v>67.03</v>
      </c>
      <c r="J425" s="17">
        <v>19.16</v>
      </c>
      <c r="K425" s="17">
        <v>486.93</v>
      </c>
      <c r="L425" s="12"/>
    </row>
    <row r="426" spans="1:12" ht="16" x14ac:dyDescent="0.2">
      <c r="A426" s="7"/>
      <c r="B426" s="7"/>
      <c r="G426" s="15">
        <v>45416</v>
      </c>
      <c r="H426" s="16">
        <v>0.125</v>
      </c>
      <c r="I426" s="17">
        <v>67.58</v>
      </c>
      <c r="J426" s="17">
        <v>18.940000000000001</v>
      </c>
      <c r="K426" s="17">
        <v>492.94</v>
      </c>
      <c r="L426" s="12"/>
    </row>
    <row r="427" spans="1:12" ht="16" x14ac:dyDescent="0.2">
      <c r="A427" s="7"/>
      <c r="B427" s="7"/>
      <c r="G427" s="15">
        <v>45416</v>
      </c>
      <c r="H427" s="16">
        <v>0.16666666666666666</v>
      </c>
      <c r="I427" s="17">
        <v>68.16</v>
      </c>
      <c r="J427" s="17">
        <v>18.3</v>
      </c>
      <c r="K427" s="17">
        <v>499.98</v>
      </c>
      <c r="L427" s="12"/>
    </row>
    <row r="428" spans="1:12" ht="16" x14ac:dyDescent="0.2">
      <c r="A428" s="7"/>
      <c r="B428" s="7"/>
      <c r="G428" s="15">
        <v>45416</v>
      </c>
      <c r="H428" s="16">
        <v>0.20833333333333334</v>
      </c>
      <c r="I428" s="17">
        <v>68.28</v>
      </c>
      <c r="J428" s="17">
        <v>17.850000000000001</v>
      </c>
      <c r="K428" s="17">
        <v>507.52</v>
      </c>
      <c r="L428" s="12"/>
    </row>
    <row r="429" spans="1:12" ht="16" x14ac:dyDescent="0.2">
      <c r="A429" s="7"/>
      <c r="B429" s="7"/>
      <c r="G429" s="15">
        <v>45416</v>
      </c>
      <c r="H429" s="16">
        <v>0.25</v>
      </c>
      <c r="I429" s="17">
        <v>68.319999999999993</v>
      </c>
      <c r="J429" s="17">
        <v>18.100000000000001</v>
      </c>
      <c r="K429" s="17">
        <v>516.71</v>
      </c>
      <c r="L429" s="12"/>
    </row>
    <row r="430" spans="1:12" ht="16" x14ac:dyDescent="0.2">
      <c r="A430" s="7"/>
      <c r="B430" s="7"/>
      <c r="G430" s="15">
        <v>45416</v>
      </c>
      <c r="H430" s="16">
        <v>0.29166666666666669</v>
      </c>
      <c r="I430" s="17">
        <v>68.06</v>
      </c>
      <c r="J430" s="17">
        <v>21.73</v>
      </c>
      <c r="K430" s="17">
        <v>518.57000000000005</v>
      </c>
      <c r="L430" s="12"/>
    </row>
    <row r="431" spans="1:12" ht="16" x14ac:dyDescent="0.2">
      <c r="A431" s="7"/>
      <c r="B431" s="7"/>
      <c r="G431" s="15">
        <v>45416</v>
      </c>
      <c r="H431" s="16">
        <v>0.33333333333333331</v>
      </c>
      <c r="I431" s="17">
        <v>66.38</v>
      </c>
      <c r="J431" s="17">
        <v>24.76</v>
      </c>
      <c r="K431" s="17">
        <v>496.99</v>
      </c>
      <c r="L431" s="12"/>
    </row>
    <row r="432" spans="1:12" ht="16" x14ac:dyDescent="0.2">
      <c r="A432" s="7"/>
      <c r="B432" s="7"/>
      <c r="G432" s="15">
        <v>45416</v>
      </c>
      <c r="H432" s="16">
        <v>0.375</v>
      </c>
      <c r="I432" s="17">
        <v>64.42</v>
      </c>
      <c r="J432" s="17">
        <v>24.09</v>
      </c>
      <c r="K432" s="17">
        <v>479.9</v>
      </c>
      <c r="L432" s="12"/>
    </row>
    <row r="433" spans="1:12" ht="16" x14ac:dyDescent="0.2">
      <c r="A433" s="7"/>
      <c r="B433" s="7"/>
      <c r="G433" s="15">
        <v>45416</v>
      </c>
      <c r="H433" s="16">
        <v>0.41666666666666669</v>
      </c>
      <c r="I433" s="17">
        <v>62.99</v>
      </c>
      <c r="J433" s="17">
        <v>23.26</v>
      </c>
      <c r="K433" s="17">
        <v>466.06</v>
      </c>
      <c r="L433" s="12"/>
    </row>
    <row r="434" spans="1:12" ht="16" x14ac:dyDescent="0.2">
      <c r="A434" s="7"/>
      <c r="B434" s="7"/>
      <c r="G434" s="15">
        <v>45416</v>
      </c>
      <c r="H434" s="16">
        <v>0.45833333333333331</v>
      </c>
      <c r="I434" s="17">
        <v>60.6</v>
      </c>
      <c r="J434" s="17">
        <v>23.71</v>
      </c>
      <c r="K434" s="17">
        <v>463.63</v>
      </c>
      <c r="L434" s="12"/>
    </row>
    <row r="435" spans="1:12" ht="16" x14ac:dyDescent="0.2">
      <c r="A435" s="7"/>
      <c r="B435" s="7"/>
      <c r="G435" s="15">
        <v>45416</v>
      </c>
      <c r="H435" s="16">
        <v>0.5</v>
      </c>
      <c r="I435" s="17">
        <v>58.36</v>
      </c>
      <c r="J435" s="17">
        <v>24.08</v>
      </c>
      <c r="K435" s="17">
        <v>457.33</v>
      </c>
      <c r="L435" s="12"/>
    </row>
    <row r="436" spans="1:12" ht="16" x14ac:dyDescent="0.2">
      <c r="A436" s="7"/>
      <c r="B436" s="7"/>
      <c r="G436" s="15">
        <v>45416</v>
      </c>
      <c r="H436" s="16">
        <v>0.54166666666666663</v>
      </c>
      <c r="I436" s="17">
        <v>56.66</v>
      </c>
      <c r="J436" s="17">
        <v>24.55</v>
      </c>
      <c r="K436" s="17">
        <v>447.3</v>
      </c>
      <c r="L436" s="12"/>
    </row>
    <row r="437" spans="1:12" ht="16" x14ac:dyDescent="0.2">
      <c r="A437" s="7"/>
      <c r="B437" s="7"/>
      <c r="G437" s="15">
        <v>45416</v>
      </c>
      <c r="H437" s="16">
        <v>0.58333333333333337</v>
      </c>
      <c r="I437" s="17">
        <v>56.91</v>
      </c>
      <c r="J437" s="17">
        <v>24.39</v>
      </c>
      <c r="K437" s="17">
        <v>443.4</v>
      </c>
      <c r="L437" s="12"/>
    </row>
    <row r="438" spans="1:12" ht="16" x14ac:dyDescent="0.2">
      <c r="A438" s="7"/>
      <c r="B438" s="7"/>
      <c r="G438" s="15">
        <v>45416</v>
      </c>
      <c r="H438" s="16">
        <v>0.625</v>
      </c>
      <c r="I438" s="17">
        <v>57.28</v>
      </c>
      <c r="J438" s="17">
        <v>23.96</v>
      </c>
      <c r="K438" s="17">
        <v>439.97</v>
      </c>
      <c r="L438" s="12"/>
    </row>
    <row r="439" spans="1:12" ht="16" x14ac:dyDescent="0.2">
      <c r="A439" s="7"/>
      <c r="B439" s="7"/>
      <c r="G439" s="15">
        <v>45416</v>
      </c>
      <c r="H439" s="16">
        <v>0.66666666666666663</v>
      </c>
      <c r="I439" s="17">
        <v>57.76</v>
      </c>
      <c r="J439" s="17">
        <v>23.4</v>
      </c>
      <c r="K439" s="17">
        <v>436.05</v>
      </c>
      <c r="L439" s="12"/>
    </row>
    <row r="440" spans="1:12" ht="16" x14ac:dyDescent="0.2">
      <c r="A440" s="7"/>
      <c r="B440" s="7"/>
      <c r="G440" s="15">
        <v>45416</v>
      </c>
      <c r="H440" s="16">
        <v>0.70833333333333337</v>
      </c>
      <c r="I440" s="17">
        <v>58.96</v>
      </c>
      <c r="J440" s="17">
        <v>22.32</v>
      </c>
      <c r="K440" s="17">
        <v>430.26</v>
      </c>
      <c r="L440" s="12"/>
    </row>
    <row r="441" spans="1:12" ht="16" x14ac:dyDescent="0.2">
      <c r="A441" s="7"/>
      <c r="B441" s="7"/>
      <c r="G441" s="15">
        <v>45416</v>
      </c>
      <c r="H441" s="16">
        <v>0.75</v>
      </c>
      <c r="I441" s="17">
        <v>58.34</v>
      </c>
      <c r="J441" s="17">
        <v>26.65</v>
      </c>
      <c r="K441" s="17">
        <v>440.16</v>
      </c>
      <c r="L441" s="12"/>
    </row>
    <row r="442" spans="1:12" ht="16" x14ac:dyDescent="0.2">
      <c r="A442" s="7"/>
      <c r="B442" s="7"/>
      <c r="G442" s="15">
        <v>45416</v>
      </c>
      <c r="H442" s="16">
        <v>0.79166666666666663</v>
      </c>
      <c r="I442" s="17">
        <v>59.39</v>
      </c>
      <c r="J442" s="17">
        <v>25.5</v>
      </c>
      <c r="K442" s="17">
        <v>440.21</v>
      </c>
      <c r="L442" s="12"/>
    </row>
    <row r="443" spans="1:12" ht="16" x14ac:dyDescent="0.2">
      <c r="A443" s="7"/>
      <c r="B443" s="7"/>
      <c r="G443" s="15">
        <v>45416</v>
      </c>
      <c r="H443" s="16">
        <v>0.83333333333333337</v>
      </c>
      <c r="I443" s="17">
        <v>60.09</v>
      </c>
      <c r="J443" s="17">
        <v>20.61</v>
      </c>
      <c r="K443" s="17">
        <v>444.66</v>
      </c>
      <c r="L443" s="12"/>
    </row>
    <row r="444" spans="1:12" ht="16" x14ac:dyDescent="0.2">
      <c r="A444" s="7"/>
      <c r="B444" s="7"/>
      <c r="G444" s="15">
        <v>45416</v>
      </c>
      <c r="H444" s="16">
        <v>0.875</v>
      </c>
      <c r="I444" s="17">
        <v>59.28</v>
      </c>
      <c r="J444" s="17">
        <v>22.51</v>
      </c>
      <c r="K444" s="17">
        <v>444.77</v>
      </c>
      <c r="L444" s="12"/>
    </row>
    <row r="445" spans="1:12" ht="16" x14ac:dyDescent="0.2">
      <c r="A445" s="7"/>
      <c r="B445" s="7"/>
      <c r="G445" s="15">
        <v>45416</v>
      </c>
      <c r="H445" s="16">
        <v>0.91666666666666663</v>
      </c>
      <c r="I445" s="17">
        <v>57.57</v>
      </c>
      <c r="J445" s="17">
        <v>22.17</v>
      </c>
      <c r="K445" s="17">
        <v>447.28</v>
      </c>
      <c r="L445" s="12"/>
    </row>
    <row r="446" spans="1:12" ht="16" x14ac:dyDescent="0.2">
      <c r="A446" s="7"/>
      <c r="B446" s="7"/>
      <c r="G446" s="15">
        <v>45416</v>
      </c>
      <c r="H446" s="16">
        <v>0.95833333333333337</v>
      </c>
      <c r="I446" s="17">
        <v>57.06</v>
      </c>
      <c r="J446" s="17">
        <v>21.45</v>
      </c>
      <c r="K446" s="17">
        <v>450.75</v>
      </c>
      <c r="L446" s="12"/>
    </row>
    <row r="447" spans="1:12" ht="16" x14ac:dyDescent="0.2">
      <c r="A447" s="7"/>
      <c r="B447" s="7"/>
      <c r="G447" s="15">
        <v>45417</v>
      </c>
      <c r="H447" s="16">
        <v>0</v>
      </c>
      <c r="I447" s="17">
        <v>57.03</v>
      </c>
      <c r="J447" s="17">
        <v>20.65</v>
      </c>
      <c r="K447" s="17">
        <v>455.36</v>
      </c>
      <c r="L447" s="12"/>
    </row>
    <row r="448" spans="1:12" ht="16" x14ac:dyDescent="0.2">
      <c r="A448" s="7"/>
      <c r="B448" s="7"/>
      <c r="G448" s="15">
        <v>45417</v>
      </c>
      <c r="H448" s="16">
        <v>4.1666666666666664E-2</v>
      </c>
      <c r="I448" s="17">
        <v>56.59</v>
      </c>
      <c r="J448" s="17">
        <v>20.18</v>
      </c>
      <c r="K448" s="17">
        <v>458.21</v>
      </c>
      <c r="L448" s="12"/>
    </row>
    <row r="449" spans="1:12" ht="16" x14ac:dyDescent="0.2">
      <c r="A449" s="7"/>
      <c r="B449" s="7"/>
      <c r="G449" s="15">
        <v>45417</v>
      </c>
      <c r="H449" s="16">
        <v>8.3333333333333329E-2</v>
      </c>
      <c r="I449" s="17">
        <v>54.23</v>
      </c>
      <c r="J449" s="17">
        <v>19.649999999999999</v>
      </c>
      <c r="K449" s="17">
        <v>455.5</v>
      </c>
      <c r="L449" s="12"/>
    </row>
    <row r="450" spans="1:12" ht="16" x14ac:dyDescent="0.2">
      <c r="A450" s="7"/>
      <c r="B450" s="7"/>
      <c r="G450" s="15">
        <v>45417</v>
      </c>
      <c r="H450" s="16">
        <v>0.125</v>
      </c>
      <c r="I450" s="17">
        <v>53.89</v>
      </c>
      <c r="J450" s="17">
        <v>19.079999999999998</v>
      </c>
      <c r="K450" s="17">
        <v>459.51</v>
      </c>
      <c r="L450" s="12"/>
    </row>
    <row r="451" spans="1:12" ht="16" x14ac:dyDescent="0.2">
      <c r="A451" s="7"/>
      <c r="B451" s="7"/>
      <c r="G451" s="15">
        <v>45417</v>
      </c>
      <c r="H451" s="16">
        <v>0.16666666666666666</v>
      </c>
      <c r="I451" s="17">
        <v>54.82</v>
      </c>
      <c r="J451" s="17">
        <v>17.940000000000001</v>
      </c>
      <c r="K451" s="17">
        <v>465.89</v>
      </c>
      <c r="L451" s="12"/>
    </row>
    <row r="452" spans="1:12" ht="16" x14ac:dyDescent="0.2">
      <c r="A452" s="7"/>
      <c r="B452" s="7"/>
      <c r="G452" s="15">
        <v>45417</v>
      </c>
      <c r="H452" s="16">
        <v>0.20833333333333334</v>
      </c>
      <c r="I452" s="17">
        <v>56.36</v>
      </c>
      <c r="J452" s="17">
        <v>16.170000000000002</v>
      </c>
      <c r="K452" s="17">
        <v>484.73</v>
      </c>
      <c r="L452" s="12"/>
    </row>
    <row r="453" spans="1:12" ht="16" x14ac:dyDescent="0.2">
      <c r="A453" s="7"/>
      <c r="B453" s="7"/>
      <c r="G453" s="15">
        <v>45417</v>
      </c>
      <c r="H453" s="16">
        <v>0.25</v>
      </c>
      <c r="I453" s="17">
        <v>57.59</v>
      </c>
      <c r="J453" s="17">
        <v>16.88</v>
      </c>
      <c r="K453" s="17">
        <v>498.08</v>
      </c>
      <c r="L453" s="12"/>
    </row>
    <row r="454" spans="1:12" ht="16" x14ac:dyDescent="0.2">
      <c r="A454" s="7"/>
      <c r="B454" s="7"/>
      <c r="G454" s="15">
        <v>45417</v>
      </c>
      <c r="H454" s="16">
        <v>0.29166666666666669</v>
      </c>
      <c r="I454" s="17">
        <v>56.82</v>
      </c>
      <c r="J454" s="17">
        <v>20.45</v>
      </c>
      <c r="K454" s="17">
        <v>484.44</v>
      </c>
      <c r="L454" s="12"/>
    </row>
    <row r="455" spans="1:12" ht="16" x14ac:dyDescent="0.2">
      <c r="A455" s="7"/>
      <c r="B455" s="7"/>
      <c r="G455" s="15">
        <v>45417</v>
      </c>
      <c r="H455" s="16">
        <v>0.33333333333333331</v>
      </c>
      <c r="I455" s="17">
        <v>55.67</v>
      </c>
      <c r="J455" s="17">
        <v>23.52</v>
      </c>
      <c r="K455" s="17">
        <v>460.1</v>
      </c>
      <c r="L455" s="12"/>
    </row>
    <row r="456" spans="1:12" ht="16" x14ac:dyDescent="0.2">
      <c r="A456" s="7"/>
      <c r="B456" s="7"/>
      <c r="G456" s="15">
        <v>45417</v>
      </c>
      <c r="H456" s="16">
        <v>0.375</v>
      </c>
      <c r="I456" s="17">
        <v>55.5</v>
      </c>
      <c r="J456" s="17">
        <v>25.33</v>
      </c>
      <c r="K456" s="17">
        <v>457.04</v>
      </c>
      <c r="L456" s="12"/>
    </row>
    <row r="457" spans="1:12" ht="16" x14ac:dyDescent="0.2">
      <c r="A457" s="7"/>
      <c r="B457" s="7"/>
      <c r="G457" s="15">
        <v>45417</v>
      </c>
      <c r="H457" s="16">
        <v>0.41666666666666669</v>
      </c>
      <c r="I457" s="17">
        <v>54.66</v>
      </c>
      <c r="J457" s="17">
        <v>24.89</v>
      </c>
      <c r="K457" s="17">
        <v>455.73</v>
      </c>
      <c r="L457" s="12"/>
    </row>
    <row r="458" spans="1:12" ht="16" x14ac:dyDescent="0.2">
      <c r="A458" s="7"/>
      <c r="B458" s="7"/>
      <c r="G458" s="15">
        <v>45417</v>
      </c>
      <c r="H458" s="16">
        <v>0.54166666666666663</v>
      </c>
      <c r="I458" s="17">
        <v>48.01</v>
      </c>
      <c r="J458" s="17">
        <v>28.31</v>
      </c>
      <c r="K458" s="17">
        <v>462.17</v>
      </c>
      <c r="L458" s="12"/>
    </row>
    <row r="459" spans="1:12" ht="16" x14ac:dyDescent="0.2">
      <c r="A459" s="7"/>
      <c r="B459" s="7"/>
      <c r="G459" s="15">
        <v>45417</v>
      </c>
      <c r="H459" s="16">
        <v>0.58333333333333337</v>
      </c>
      <c r="I459" s="17">
        <v>52.18</v>
      </c>
      <c r="J459" s="17">
        <v>22.72</v>
      </c>
      <c r="K459" s="17">
        <v>438.32</v>
      </c>
      <c r="L459" s="12"/>
    </row>
    <row r="460" spans="1:12" ht="16" x14ac:dyDescent="0.2">
      <c r="A460" s="7"/>
      <c r="B460" s="7"/>
      <c r="G460" s="15">
        <v>45417</v>
      </c>
      <c r="H460" s="16">
        <v>0.625</v>
      </c>
      <c r="I460" s="17">
        <v>53.37</v>
      </c>
      <c r="J460" s="17">
        <v>21.35</v>
      </c>
      <c r="K460" s="17">
        <v>434.51</v>
      </c>
      <c r="L460" s="12"/>
    </row>
    <row r="461" spans="1:12" ht="16" x14ac:dyDescent="0.2">
      <c r="A461" s="7"/>
      <c r="B461" s="7"/>
      <c r="G461" s="15">
        <v>45417</v>
      </c>
      <c r="H461" s="16">
        <v>0.66666666666666663</v>
      </c>
      <c r="I461" s="17">
        <v>53.94</v>
      </c>
      <c r="J461" s="17">
        <v>20.27</v>
      </c>
      <c r="K461" s="17">
        <v>431.65</v>
      </c>
      <c r="L461" s="12"/>
    </row>
    <row r="462" spans="1:12" ht="16" x14ac:dyDescent="0.2">
      <c r="A462" s="7"/>
      <c r="B462" s="7"/>
      <c r="G462" s="15">
        <v>45417</v>
      </c>
      <c r="H462" s="16">
        <v>0.70833333333333337</v>
      </c>
      <c r="I462" s="17">
        <v>54.83</v>
      </c>
      <c r="J462" s="17">
        <v>18.71</v>
      </c>
      <c r="K462" s="17">
        <v>442.73</v>
      </c>
      <c r="L462" s="12"/>
    </row>
    <row r="463" spans="1:12" ht="16" x14ac:dyDescent="0.2">
      <c r="A463" s="7"/>
      <c r="B463" s="7"/>
      <c r="G463" s="15">
        <v>45417</v>
      </c>
      <c r="H463" s="16">
        <v>0.75</v>
      </c>
      <c r="I463" s="17">
        <v>55.24</v>
      </c>
      <c r="J463" s="17">
        <v>22.66</v>
      </c>
      <c r="K463" s="17">
        <v>443.26</v>
      </c>
      <c r="L463" s="12"/>
    </row>
    <row r="464" spans="1:12" ht="16" x14ac:dyDescent="0.2">
      <c r="A464" s="7"/>
      <c r="B464" s="7"/>
      <c r="G464" s="15">
        <v>45417</v>
      </c>
      <c r="H464" s="16">
        <v>0.79166666666666663</v>
      </c>
      <c r="I464" s="17">
        <v>55.92</v>
      </c>
      <c r="J464" s="17">
        <v>17.73</v>
      </c>
      <c r="K464" s="17">
        <v>456.83</v>
      </c>
      <c r="L464" s="12"/>
    </row>
    <row r="465" spans="1:12" ht="16" x14ac:dyDescent="0.2">
      <c r="A465" s="7"/>
      <c r="B465" s="7"/>
      <c r="G465" s="15">
        <v>45417</v>
      </c>
      <c r="H465" s="16">
        <v>0.83333333333333337</v>
      </c>
      <c r="I465" s="17">
        <v>54.59</v>
      </c>
      <c r="J465" s="17">
        <v>19.850000000000001</v>
      </c>
      <c r="K465" s="17">
        <v>461.44</v>
      </c>
      <c r="L465" s="12"/>
    </row>
    <row r="466" spans="1:12" ht="16" x14ac:dyDescent="0.2">
      <c r="A466" s="7"/>
      <c r="B466" s="7"/>
      <c r="G466" s="15">
        <v>45417</v>
      </c>
      <c r="H466" s="16">
        <v>0.875</v>
      </c>
      <c r="I466" s="17">
        <v>54.49</v>
      </c>
      <c r="J466" s="17">
        <v>20.12</v>
      </c>
      <c r="K466" s="17">
        <v>459.5</v>
      </c>
      <c r="L466" s="12"/>
    </row>
    <row r="467" spans="1:12" ht="16" x14ac:dyDescent="0.2">
      <c r="A467" s="7"/>
      <c r="B467" s="7"/>
      <c r="G467" s="15">
        <v>45417</v>
      </c>
      <c r="H467" s="16">
        <v>0.91666666666666663</v>
      </c>
      <c r="I467" s="17">
        <v>54.65</v>
      </c>
      <c r="J467" s="17">
        <v>19.62</v>
      </c>
      <c r="K467" s="17">
        <v>466.88</v>
      </c>
      <c r="L467" s="12"/>
    </row>
    <row r="468" spans="1:12" ht="16" x14ac:dyDescent="0.2">
      <c r="A468" s="7"/>
      <c r="B468" s="7"/>
      <c r="G468" s="15">
        <v>45417</v>
      </c>
      <c r="H468" s="16">
        <v>0.95833333333333337</v>
      </c>
      <c r="I468" s="17">
        <v>54.97</v>
      </c>
      <c r="J468" s="17">
        <v>18.989999999999998</v>
      </c>
      <c r="K468" s="17">
        <v>471.84</v>
      </c>
      <c r="L468" s="12"/>
    </row>
    <row r="469" spans="1:12" ht="16" x14ac:dyDescent="0.2">
      <c r="A469" s="7"/>
      <c r="B469" s="7"/>
      <c r="G469" s="15">
        <v>45418</v>
      </c>
      <c r="H469" s="16">
        <v>0</v>
      </c>
      <c r="I469" s="17">
        <v>55.55</v>
      </c>
      <c r="J469" s="17">
        <v>18.39</v>
      </c>
      <c r="K469" s="17">
        <v>474.53</v>
      </c>
      <c r="L469" s="12"/>
    </row>
    <row r="470" spans="1:12" ht="16" x14ac:dyDescent="0.2">
      <c r="A470" s="7"/>
      <c r="B470" s="7"/>
      <c r="G470" s="15">
        <v>45418</v>
      </c>
      <c r="H470" s="16">
        <v>4.1666666666666664E-2</v>
      </c>
      <c r="I470" s="17">
        <v>56.36</v>
      </c>
      <c r="J470" s="17">
        <v>17.829999999999998</v>
      </c>
      <c r="K470" s="17">
        <v>478.88</v>
      </c>
      <c r="L470" s="12"/>
    </row>
    <row r="471" spans="1:12" ht="16" x14ac:dyDescent="0.2">
      <c r="A471" s="7"/>
      <c r="B471" s="7"/>
      <c r="G471" s="15">
        <v>45418</v>
      </c>
      <c r="H471" s="16">
        <v>8.3333333333333329E-2</v>
      </c>
      <c r="I471" s="17">
        <v>57.43</v>
      </c>
      <c r="J471" s="17">
        <v>17.34</v>
      </c>
      <c r="K471" s="17">
        <v>479.73</v>
      </c>
      <c r="L471" s="12"/>
    </row>
    <row r="472" spans="1:12" ht="16" x14ac:dyDescent="0.2">
      <c r="A472" s="7"/>
      <c r="B472" s="7"/>
      <c r="G472" s="15">
        <v>45418</v>
      </c>
      <c r="H472" s="16">
        <v>0.125</v>
      </c>
      <c r="I472" s="17">
        <v>58.06</v>
      </c>
      <c r="J472" s="17">
        <v>17.04</v>
      </c>
      <c r="K472" s="17">
        <v>481.13</v>
      </c>
      <c r="L472" s="12"/>
    </row>
    <row r="473" spans="1:12" ht="16" x14ac:dyDescent="0.2">
      <c r="A473" s="7"/>
      <c r="B473" s="7"/>
      <c r="G473" s="15">
        <v>45418</v>
      </c>
      <c r="H473" s="16">
        <v>0.16666666666666666</v>
      </c>
      <c r="I473" s="17">
        <v>58.84</v>
      </c>
      <c r="J473" s="17">
        <v>16.79</v>
      </c>
      <c r="K473" s="17">
        <v>482.02</v>
      </c>
      <c r="L473" s="12"/>
    </row>
    <row r="474" spans="1:12" ht="16" x14ac:dyDescent="0.2">
      <c r="A474" s="7"/>
      <c r="B474" s="7"/>
      <c r="G474" s="15">
        <v>45418</v>
      </c>
      <c r="H474" s="16">
        <v>0.20833333333333334</v>
      </c>
      <c r="I474" s="17">
        <v>59.36</v>
      </c>
      <c r="J474" s="17">
        <v>16.73</v>
      </c>
      <c r="K474" s="17">
        <v>485.95</v>
      </c>
      <c r="L474" s="12"/>
    </row>
    <row r="475" spans="1:12" ht="16" x14ac:dyDescent="0.2">
      <c r="A475" s="7"/>
      <c r="B475" s="7"/>
      <c r="G475" s="15">
        <v>45418</v>
      </c>
      <c r="H475" s="16">
        <v>0.25</v>
      </c>
      <c r="I475" s="17">
        <v>59.62</v>
      </c>
      <c r="J475" s="17">
        <v>17.149999999999999</v>
      </c>
      <c r="K475" s="17">
        <v>486.8</v>
      </c>
      <c r="L475" s="12"/>
    </row>
    <row r="476" spans="1:12" ht="16" x14ac:dyDescent="0.2">
      <c r="A476" s="7"/>
      <c r="B476" s="7"/>
      <c r="G476" s="15">
        <v>45418</v>
      </c>
      <c r="H476" s="16">
        <v>0.29166666666666669</v>
      </c>
      <c r="I476" s="17">
        <v>57.84</v>
      </c>
      <c r="J476" s="17">
        <v>19.760000000000002</v>
      </c>
      <c r="K476" s="17">
        <v>484.15</v>
      </c>
      <c r="L476" s="12"/>
    </row>
    <row r="477" spans="1:12" ht="16" x14ac:dyDescent="0.2">
      <c r="A477" s="7"/>
      <c r="B477" s="7"/>
      <c r="G477" s="15">
        <v>45418</v>
      </c>
      <c r="H477" s="16">
        <v>0.33333333333333331</v>
      </c>
      <c r="I477" s="17">
        <v>57.21</v>
      </c>
      <c r="J477" s="17">
        <v>20.399999999999999</v>
      </c>
      <c r="K477" s="17">
        <v>471.84</v>
      </c>
      <c r="L477" s="12"/>
    </row>
    <row r="478" spans="1:12" ht="16" x14ac:dyDescent="0.2">
      <c r="A478" s="7"/>
      <c r="B478" s="7"/>
      <c r="G478" s="15">
        <v>45418</v>
      </c>
      <c r="H478" s="16">
        <v>0.375</v>
      </c>
      <c r="I478" s="17">
        <v>57.69</v>
      </c>
      <c r="J478" s="17">
        <v>21.29</v>
      </c>
      <c r="K478" s="17">
        <v>469.58</v>
      </c>
      <c r="L478" s="12"/>
    </row>
    <row r="479" spans="1:12" ht="16" x14ac:dyDescent="0.2">
      <c r="A479" s="7"/>
      <c r="B479" s="7"/>
      <c r="G479" s="15">
        <v>45418</v>
      </c>
      <c r="H479" s="16">
        <v>0.41666666666666669</v>
      </c>
      <c r="I479" s="17">
        <v>55.98</v>
      </c>
      <c r="J479" s="17">
        <v>24.26</v>
      </c>
      <c r="K479" s="17">
        <v>460.83</v>
      </c>
      <c r="L479" s="12"/>
    </row>
    <row r="480" spans="1:12" ht="16" x14ac:dyDescent="0.2">
      <c r="A480" s="7"/>
      <c r="B480" s="7"/>
      <c r="G480" s="15">
        <v>45418</v>
      </c>
      <c r="H480" s="16">
        <v>0.45833333333333331</v>
      </c>
      <c r="I480" s="17">
        <v>54.83</v>
      </c>
      <c r="J480" s="17">
        <v>24.02</v>
      </c>
      <c r="K480" s="17">
        <v>454.2</v>
      </c>
      <c r="L480" s="12"/>
    </row>
    <row r="481" spans="1:12" ht="16" x14ac:dyDescent="0.2">
      <c r="A481" s="7"/>
      <c r="B481" s="7"/>
      <c r="G481" s="15">
        <v>45418</v>
      </c>
      <c r="H481" s="16">
        <v>0.5</v>
      </c>
      <c r="I481" s="17">
        <v>53.59</v>
      </c>
      <c r="J481" s="17">
        <v>23.97</v>
      </c>
      <c r="K481" s="17">
        <v>449.94</v>
      </c>
      <c r="L481" s="12"/>
    </row>
    <row r="482" spans="1:12" ht="16" x14ac:dyDescent="0.2">
      <c r="A482" s="7"/>
      <c r="B482" s="7"/>
      <c r="G482" s="15">
        <v>45418</v>
      </c>
      <c r="H482" s="16">
        <v>0.54166666666666663</v>
      </c>
      <c r="I482" s="17">
        <v>52.76</v>
      </c>
      <c r="J482" s="17">
        <v>24.67</v>
      </c>
      <c r="K482" s="17">
        <v>443.04</v>
      </c>
      <c r="L482" s="12"/>
    </row>
    <row r="483" spans="1:12" ht="16" x14ac:dyDescent="0.2">
      <c r="A483" s="7"/>
      <c r="B483" s="7"/>
      <c r="G483" s="15">
        <v>45418</v>
      </c>
      <c r="H483" s="16">
        <v>0.58333333333333337</v>
      </c>
      <c r="I483" s="17">
        <v>52.5</v>
      </c>
      <c r="J483" s="17">
        <v>25.73</v>
      </c>
      <c r="K483" s="17">
        <v>439.29</v>
      </c>
      <c r="L483" s="12"/>
    </row>
    <row r="484" spans="1:12" ht="16" x14ac:dyDescent="0.2">
      <c r="A484" s="7"/>
      <c r="B484" s="7"/>
      <c r="G484" s="15">
        <v>45418</v>
      </c>
      <c r="H484" s="16">
        <v>0.625</v>
      </c>
      <c r="I484" s="17">
        <v>53.17</v>
      </c>
      <c r="J484" s="17">
        <v>25.54</v>
      </c>
      <c r="K484" s="17">
        <v>437.44</v>
      </c>
      <c r="L484" s="12"/>
    </row>
    <row r="485" spans="1:12" ht="16" x14ac:dyDescent="0.2">
      <c r="A485" s="7"/>
      <c r="B485" s="7"/>
      <c r="G485" s="15">
        <v>45418</v>
      </c>
      <c r="H485" s="16">
        <v>0.66666666666666663</v>
      </c>
      <c r="I485" s="17">
        <v>53.61</v>
      </c>
      <c r="J485" s="17">
        <v>25.27</v>
      </c>
      <c r="K485" s="17">
        <v>437.56</v>
      </c>
      <c r="L485" s="12"/>
    </row>
    <row r="486" spans="1:12" ht="16" x14ac:dyDescent="0.2">
      <c r="A486" s="7"/>
      <c r="B486" s="7"/>
      <c r="G486" s="15">
        <v>45418</v>
      </c>
      <c r="H486" s="16">
        <v>0.70833333333333337</v>
      </c>
      <c r="I486" s="17">
        <v>55.33</v>
      </c>
      <c r="J486" s="17">
        <v>19.309999999999999</v>
      </c>
      <c r="K486" s="17">
        <v>441.6</v>
      </c>
      <c r="L486" s="12"/>
    </row>
    <row r="487" spans="1:12" ht="16" x14ac:dyDescent="0.2">
      <c r="A487" s="7"/>
      <c r="B487" s="7"/>
      <c r="G487" s="15">
        <v>45418</v>
      </c>
      <c r="H487" s="16">
        <v>0.75</v>
      </c>
      <c r="I487" s="17">
        <v>56.33</v>
      </c>
      <c r="J487" s="17">
        <v>18.3</v>
      </c>
      <c r="K487" s="17">
        <v>449.2</v>
      </c>
      <c r="L487" s="12"/>
    </row>
    <row r="488" spans="1:12" ht="16" x14ac:dyDescent="0.2">
      <c r="A488" s="7"/>
      <c r="B488" s="7"/>
      <c r="G488" s="15">
        <v>45418</v>
      </c>
      <c r="H488" s="16">
        <v>0.79166666666666663</v>
      </c>
      <c r="I488" s="17">
        <v>56.48</v>
      </c>
      <c r="J488" s="17">
        <v>18.47</v>
      </c>
      <c r="K488" s="17">
        <v>458.52</v>
      </c>
      <c r="L488" s="12"/>
    </row>
    <row r="489" spans="1:12" ht="16" x14ac:dyDescent="0.2">
      <c r="A489" s="7"/>
      <c r="B489" s="7"/>
      <c r="G489" s="15">
        <v>45418</v>
      </c>
      <c r="H489" s="16">
        <v>0.83333333333333337</v>
      </c>
      <c r="I489" s="17">
        <v>55.01</v>
      </c>
      <c r="J489" s="17">
        <v>20.94</v>
      </c>
      <c r="K489" s="17">
        <v>455.24</v>
      </c>
      <c r="L489" s="12"/>
    </row>
    <row r="490" spans="1:12" ht="16" x14ac:dyDescent="0.2">
      <c r="A490" s="7"/>
      <c r="B490" s="7"/>
      <c r="G490" s="15">
        <v>45418</v>
      </c>
      <c r="H490" s="16">
        <v>0.875</v>
      </c>
      <c r="I490" s="17">
        <v>54.43</v>
      </c>
      <c r="J490" s="17">
        <v>20.79</v>
      </c>
      <c r="K490" s="17">
        <v>453.04</v>
      </c>
      <c r="L490" s="12"/>
    </row>
    <row r="491" spans="1:12" ht="16" x14ac:dyDescent="0.2">
      <c r="A491" s="7"/>
      <c r="B491" s="7"/>
      <c r="G491" s="15">
        <v>45418</v>
      </c>
      <c r="H491" s="16">
        <v>0.91666666666666663</v>
      </c>
      <c r="I491" s="17">
        <v>55.07</v>
      </c>
      <c r="J491" s="17">
        <v>19.86</v>
      </c>
      <c r="K491" s="17">
        <v>461.12</v>
      </c>
      <c r="L491" s="12"/>
    </row>
    <row r="492" spans="1:12" ht="16" x14ac:dyDescent="0.2">
      <c r="A492" s="7"/>
      <c r="B492" s="7"/>
      <c r="G492" s="15">
        <v>45418</v>
      </c>
      <c r="H492" s="16">
        <v>0.95833333333333337</v>
      </c>
      <c r="I492" s="17">
        <v>55.98</v>
      </c>
      <c r="J492" s="17">
        <v>18.989999999999998</v>
      </c>
      <c r="K492" s="17">
        <v>467.55</v>
      </c>
      <c r="L492" s="12"/>
    </row>
    <row r="493" spans="1:12" ht="16" x14ac:dyDescent="0.2">
      <c r="A493" s="7"/>
      <c r="B493" s="7"/>
      <c r="G493" s="15">
        <v>45419</v>
      </c>
      <c r="H493" s="16">
        <v>0</v>
      </c>
      <c r="I493" s="17">
        <v>56.6</v>
      </c>
      <c r="J493" s="17">
        <v>18.22</v>
      </c>
      <c r="K493" s="17">
        <v>471</v>
      </c>
      <c r="L493" s="12"/>
    </row>
    <row r="494" spans="1:12" ht="16" x14ac:dyDescent="0.2">
      <c r="A494" s="7"/>
      <c r="B494" s="7"/>
      <c r="G494" s="15">
        <v>45419</v>
      </c>
      <c r="H494" s="16">
        <v>4.1666666666666664E-2</v>
      </c>
      <c r="I494" s="17">
        <v>57.51</v>
      </c>
      <c r="J494" s="17">
        <v>17.45</v>
      </c>
      <c r="K494" s="17">
        <v>475.82</v>
      </c>
      <c r="L494" s="12"/>
    </row>
    <row r="495" spans="1:12" ht="16" x14ac:dyDescent="0.2">
      <c r="A495" s="7"/>
      <c r="B495" s="7"/>
      <c r="G495" s="15">
        <v>45419</v>
      </c>
      <c r="H495" s="16">
        <v>8.3333333333333329E-2</v>
      </c>
      <c r="I495" s="17">
        <v>58.95</v>
      </c>
      <c r="J495" s="17">
        <v>16.309999999999999</v>
      </c>
      <c r="K495" s="17">
        <v>482.16</v>
      </c>
      <c r="L495" s="12"/>
    </row>
    <row r="496" spans="1:12" ht="16" x14ac:dyDescent="0.2">
      <c r="A496" s="7"/>
      <c r="B496" s="7"/>
      <c r="G496" s="15">
        <v>45419</v>
      </c>
      <c r="H496" s="16">
        <v>0.125</v>
      </c>
      <c r="I496" s="17">
        <v>60.43</v>
      </c>
      <c r="J496" s="17">
        <v>15.47</v>
      </c>
      <c r="K496" s="17">
        <v>494.4</v>
      </c>
      <c r="L496" s="12"/>
    </row>
    <row r="497" spans="1:12" ht="16" x14ac:dyDescent="0.2">
      <c r="A497" s="7"/>
      <c r="B497" s="7"/>
      <c r="G497" s="15">
        <v>45419</v>
      </c>
      <c r="H497" s="16">
        <v>0.16666666666666666</v>
      </c>
      <c r="I497" s="17">
        <v>61.16</v>
      </c>
      <c r="J497" s="17">
        <v>15.05</v>
      </c>
      <c r="K497" s="17">
        <v>499.54</v>
      </c>
      <c r="L497" s="12"/>
    </row>
    <row r="498" spans="1:12" ht="16" x14ac:dyDescent="0.2">
      <c r="A498" s="7"/>
      <c r="B498" s="7"/>
      <c r="G498" s="15">
        <v>45419</v>
      </c>
      <c r="H498" s="16">
        <v>0.20833333333333334</v>
      </c>
      <c r="I498" s="17">
        <v>61.8</v>
      </c>
      <c r="J498" s="17">
        <v>14.17</v>
      </c>
      <c r="K498" s="17">
        <v>501.74</v>
      </c>
      <c r="L498" s="12"/>
    </row>
    <row r="499" spans="1:12" ht="16" x14ac:dyDescent="0.2">
      <c r="A499" s="7"/>
      <c r="B499" s="7"/>
      <c r="G499" s="15">
        <v>45419</v>
      </c>
      <c r="H499" s="16">
        <v>0.25</v>
      </c>
      <c r="I499" s="17">
        <v>62.37</v>
      </c>
      <c r="J499" s="17">
        <v>14.41</v>
      </c>
      <c r="K499" s="17">
        <v>509.12</v>
      </c>
      <c r="L499" s="12"/>
    </row>
    <row r="500" spans="1:12" ht="16" x14ac:dyDescent="0.2">
      <c r="A500" s="7"/>
      <c r="B500" s="7"/>
      <c r="G500" s="15">
        <v>45419</v>
      </c>
      <c r="H500" s="16">
        <v>0.29166666666666669</v>
      </c>
      <c r="I500" s="17">
        <v>59.5</v>
      </c>
      <c r="J500" s="17">
        <v>18.46</v>
      </c>
      <c r="K500" s="17">
        <v>505.23</v>
      </c>
      <c r="L500" s="12"/>
    </row>
    <row r="501" spans="1:12" ht="16" x14ac:dyDescent="0.2">
      <c r="A501" s="7"/>
      <c r="B501" s="7"/>
      <c r="G501" s="15">
        <v>45419</v>
      </c>
      <c r="H501" s="16">
        <v>0.33333333333333331</v>
      </c>
      <c r="I501" s="17">
        <v>57.08</v>
      </c>
      <c r="J501" s="17">
        <v>22.61</v>
      </c>
      <c r="K501" s="17">
        <v>477.22</v>
      </c>
      <c r="L501" s="12"/>
    </row>
    <row r="502" spans="1:12" ht="16" x14ac:dyDescent="0.2">
      <c r="A502" s="7"/>
      <c r="B502" s="7"/>
      <c r="G502" s="15">
        <v>45419</v>
      </c>
      <c r="H502" s="16">
        <v>0.375</v>
      </c>
      <c r="I502" s="17">
        <v>56.11</v>
      </c>
      <c r="J502" s="17">
        <v>23.58</v>
      </c>
      <c r="K502" s="17">
        <v>459.75</v>
      </c>
      <c r="L502" s="12"/>
    </row>
    <row r="503" spans="1:12" ht="16" x14ac:dyDescent="0.2">
      <c r="A503" s="7"/>
      <c r="B503" s="7"/>
      <c r="G503" s="15">
        <v>45419</v>
      </c>
      <c r="H503" s="16">
        <v>0.41666666666666669</v>
      </c>
      <c r="I503" s="17">
        <v>55.36</v>
      </c>
      <c r="J503" s="17">
        <v>24.13</v>
      </c>
      <c r="K503" s="17">
        <v>455.89</v>
      </c>
      <c r="L503" s="12"/>
    </row>
    <row r="504" spans="1:12" ht="16" x14ac:dyDescent="0.2">
      <c r="A504" s="7"/>
      <c r="B504" s="7"/>
      <c r="G504" s="15">
        <v>45419</v>
      </c>
      <c r="H504" s="16">
        <v>0.45833333333333331</v>
      </c>
      <c r="I504" s="17">
        <v>53.88</v>
      </c>
      <c r="J504" s="17">
        <v>23.46</v>
      </c>
      <c r="K504" s="17">
        <v>450.67</v>
      </c>
      <c r="L504" s="12"/>
    </row>
    <row r="505" spans="1:12" ht="16" x14ac:dyDescent="0.2">
      <c r="A505" s="7"/>
      <c r="B505" s="7"/>
      <c r="G505" s="15">
        <v>45419</v>
      </c>
      <c r="H505" s="16">
        <v>0.5</v>
      </c>
      <c r="I505" s="17">
        <v>53.56</v>
      </c>
      <c r="J505" s="17">
        <v>22.11</v>
      </c>
      <c r="K505" s="17">
        <v>445.46</v>
      </c>
      <c r="L505" s="12"/>
    </row>
    <row r="506" spans="1:12" ht="16" x14ac:dyDescent="0.2">
      <c r="A506" s="7"/>
      <c r="B506" s="7"/>
      <c r="G506" s="15">
        <v>45419</v>
      </c>
      <c r="H506" s="16">
        <v>0.54166666666666663</v>
      </c>
      <c r="I506" s="17">
        <v>53.24</v>
      </c>
      <c r="J506" s="17">
        <v>22.59</v>
      </c>
      <c r="K506" s="17">
        <v>444.04</v>
      </c>
      <c r="L506" s="12"/>
    </row>
    <row r="507" spans="1:12" ht="16" x14ac:dyDescent="0.2">
      <c r="A507" s="7"/>
      <c r="B507" s="7"/>
      <c r="G507" s="15">
        <v>45419</v>
      </c>
      <c r="H507" s="16">
        <v>0.58333333333333337</v>
      </c>
      <c r="I507" s="17">
        <v>52.54</v>
      </c>
      <c r="J507" s="17">
        <v>25.31</v>
      </c>
      <c r="K507" s="17">
        <v>446.41</v>
      </c>
      <c r="L507" s="12"/>
    </row>
    <row r="508" spans="1:12" ht="16" x14ac:dyDescent="0.2">
      <c r="A508" s="7"/>
      <c r="B508" s="7"/>
      <c r="G508" s="15">
        <v>45419</v>
      </c>
      <c r="H508" s="16">
        <v>0.625</v>
      </c>
      <c r="I508" s="17">
        <v>52.12</v>
      </c>
      <c r="J508" s="17">
        <v>24.83</v>
      </c>
      <c r="K508" s="17">
        <v>442.12</v>
      </c>
      <c r="L508" s="12"/>
    </row>
    <row r="509" spans="1:12" ht="16" x14ac:dyDescent="0.2">
      <c r="A509" s="7"/>
      <c r="B509" s="7"/>
      <c r="G509" s="15">
        <v>45419</v>
      </c>
      <c r="H509" s="16">
        <v>0.66666666666666663</v>
      </c>
      <c r="I509" s="17">
        <v>53.71</v>
      </c>
      <c r="J509" s="17">
        <v>20.38</v>
      </c>
      <c r="K509" s="17">
        <v>438.51</v>
      </c>
      <c r="L509" s="12"/>
    </row>
    <row r="510" spans="1:12" ht="16" x14ac:dyDescent="0.2">
      <c r="A510" s="7"/>
      <c r="B510" s="7"/>
      <c r="G510" s="15">
        <v>45419</v>
      </c>
      <c r="H510" s="16">
        <v>0.70833333333333337</v>
      </c>
      <c r="I510" s="17">
        <v>54.88</v>
      </c>
      <c r="J510" s="17">
        <v>19.5</v>
      </c>
      <c r="K510" s="17">
        <v>443.42</v>
      </c>
      <c r="L510" s="12"/>
    </row>
    <row r="511" spans="1:12" ht="16" x14ac:dyDescent="0.2">
      <c r="A511" s="7"/>
      <c r="B511" s="7"/>
      <c r="G511" s="15">
        <v>45419</v>
      </c>
      <c r="H511" s="16">
        <v>0.75</v>
      </c>
      <c r="I511" s="17">
        <v>55.22</v>
      </c>
      <c r="J511" s="17">
        <v>19.46</v>
      </c>
      <c r="K511" s="17">
        <v>450.13</v>
      </c>
      <c r="L511" s="12"/>
    </row>
    <row r="512" spans="1:12" ht="16" x14ac:dyDescent="0.2">
      <c r="A512" s="7"/>
      <c r="B512" s="7"/>
      <c r="G512" s="15">
        <v>45419</v>
      </c>
      <c r="H512" s="16">
        <v>0.79166666666666663</v>
      </c>
      <c r="I512" s="17">
        <v>53.68</v>
      </c>
      <c r="J512" s="17">
        <v>22.37</v>
      </c>
      <c r="K512" s="17">
        <v>453.78</v>
      </c>
      <c r="L512" s="12"/>
    </row>
    <row r="513" spans="1:12" ht="16" x14ac:dyDescent="0.2">
      <c r="A513" s="7"/>
      <c r="B513" s="7"/>
      <c r="G513" s="15">
        <v>45419</v>
      </c>
      <c r="H513" s="16">
        <v>0.83333333333333337</v>
      </c>
      <c r="I513" s="17">
        <v>52.01</v>
      </c>
      <c r="J513" s="17">
        <v>23.49</v>
      </c>
      <c r="K513" s="17">
        <v>447.04</v>
      </c>
      <c r="L513" s="12"/>
    </row>
    <row r="514" spans="1:12" ht="16" x14ac:dyDescent="0.2">
      <c r="A514" s="7"/>
      <c r="B514" s="7"/>
      <c r="G514" s="15">
        <v>45419</v>
      </c>
      <c r="H514" s="16">
        <v>0.875</v>
      </c>
      <c r="I514" s="17">
        <v>53.59</v>
      </c>
      <c r="J514" s="17">
        <v>21.71</v>
      </c>
      <c r="K514" s="17">
        <v>452.5</v>
      </c>
      <c r="L514" s="12"/>
    </row>
    <row r="515" spans="1:12" ht="16" x14ac:dyDescent="0.2">
      <c r="A515" s="7"/>
      <c r="B515" s="7"/>
      <c r="G515" s="15">
        <v>45419</v>
      </c>
      <c r="H515" s="16">
        <v>0.91666666666666663</v>
      </c>
      <c r="I515" s="17">
        <v>54.45</v>
      </c>
      <c r="J515" s="17">
        <v>20.440000000000001</v>
      </c>
      <c r="K515" s="17">
        <v>457.79</v>
      </c>
      <c r="L515" s="12"/>
    </row>
    <row r="516" spans="1:12" ht="16" x14ac:dyDescent="0.2">
      <c r="A516" s="7"/>
      <c r="B516" s="7"/>
      <c r="G516" s="15">
        <v>45419</v>
      </c>
      <c r="H516" s="16">
        <v>0.95833333333333337</v>
      </c>
      <c r="I516" s="17">
        <v>55.32</v>
      </c>
      <c r="J516" s="17">
        <v>19.53</v>
      </c>
      <c r="K516" s="17">
        <v>466.1</v>
      </c>
      <c r="L516" s="12"/>
    </row>
    <row r="517" spans="1:12" ht="16" x14ac:dyDescent="0.2">
      <c r="A517" s="7"/>
      <c r="B517" s="7"/>
      <c r="G517" s="15">
        <v>45420</v>
      </c>
      <c r="H517" s="16">
        <v>0</v>
      </c>
      <c r="I517" s="17">
        <v>56.43</v>
      </c>
      <c r="J517" s="17">
        <v>18.8</v>
      </c>
      <c r="K517" s="17">
        <v>471.44</v>
      </c>
      <c r="L517" s="12"/>
    </row>
    <row r="518" spans="1:12" ht="16" x14ac:dyDescent="0.2">
      <c r="A518" s="7"/>
      <c r="B518" s="7"/>
      <c r="G518" s="15">
        <v>45420</v>
      </c>
      <c r="H518" s="16">
        <v>4.1666666666666664E-2</v>
      </c>
      <c r="I518" s="17">
        <v>57.64</v>
      </c>
      <c r="J518" s="17">
        <v>18</v>
      </c>
      <c r="K518" s="17">
        <v>474.84</v>
      </c>
      <c r="L518" s="12"/>
    </row>
    <row r="519" spans="1:12" ht="16" x14ac:dyDescent="0.2">
      <c r="A519" s="7"/>
      <c r="B519" s="7"/>
      <c r="G519" s="15">
        <v>45420</v>
      </c>
      <c r="H519" s="16">
        <v>8.3333333333333329E-2</v>
      </c>
      <c r="I519" s="17">
        <v>58.82</v>
      </c>
      <c r="J519" s="17">
        <v>17.45</v>
      </c>
      <c r="K519" s="17">
        <v>475.73</v>
      </c>
      <c r="L519" s="12"/>
    </row>
    <row r="520" spans="1:12" ht="16" x14ac:dyDescent="0.2">
      <c r="A520" s="7"/>
      <c r="B520" s="7"/>
      <c r="G520" s="15">
        <v>45420</v>
      </c>
      <c r="H520" s="16">
        <v>0.125</v>
      </c>
      <c r="I520" s="17">
        <v>59.33</v>
      </c>
      <c r="J520" s="17">
        <v>17.100000000000001</v>
      </c>
      <c r="K520" s="17">
        <v>468.15</v>
      </c>
      <c r="L520" s="12"/>
    </row>
    <row r="521" spans="1:12" ht="16" x14ac:dyDescent="0.2">
      <c r="A521" s="7"/>
      <c r="B521" s="7"/>
      <c r="G521" s="15">
        <v>45420</v>
      </c>
      <c r="H521" s="16">
        <v>0.16666666666666666</v>
      </c>
      <c r="I521" s="17">
        <v>60.56</v>
      </c>
      <c r="J521" s="17">
        <v>16.489999999999998</v>
      </c>
      <c r="K521" s="17">
        <v>469.41</v>
      </c>
      <c r="L521" s="12"/>
    </row>
    <row r="522" spans="1:12" ht="16" x14ac:dyDescent="0.2">
      <c r="A522" s="7"/>
      <c r="B522" s="7"/>
      <c r="G522" s="15">
        <v>45420</v>
      </c>
      <c r="H522" s="16">
        <v>0.20833333333333334</v>
      </c>
      <c r="I522" s="17">
        <v>61.45</v>
      </c>
      <c r="J522" s="17">
        <v>15.98</v>
      </c>
      <c r="K522" s="17">
        <v>473.09</v>
      </c>
      <c r="L522" s="12"/>
    </row>
    <row r="523" spans="1:12" ht="16" x14ac:dyDescent="0.2">
      <c r="A523" s="7"/>
      <c r="B523" s="7"/>
      <c r="G523" s="15">
        <v>45420</v>
      </c>
      <c r="H523" s="16">
        <v>0.25</v>
      </c>
      <c r="I523" s="17">
        <v>61.96</v>
      </c>
      <c r="J523" s="17">
        <v>15.98</v>
      </c>
      <c r="K523" s="17">
        <v>476.32</v>
      </c>
      <c r="L523" s="12"/>
    </row>
    <row r="524" spans="1:12" ht="16" x14ac:dyDescent="0.2">
      <c r="A524" s="7"/>
      <c r="B524" s="7"/>
      <c r="G524" s="15">
        <v>45420</v>
      </c>
      <c r="H524" s="16">
        <v>0.29166666666666669</v>
      </c>
      <c r="I524" s="17">
        <v>59.39</v>
      </c>
      <c r="J524" s="17">
        <v>19.149999999999999</v>
      </c>
      <c r="K524" s="17">
        <v>470.03</v>
      </c>
      <c r="L524" s="12"/>
    </row>
    <row r="525" spans="1:12" ht="16" x14ac:dyDescent="0.2">
      <c r="A525" s="7"/>
      <c r="B525" s="7"/>
      <c r="G525" s="15">
        <v>45420</v>
      </c>
      <c r="H525" s="16">
        <v>0.33333333333333331</v>
      </c>
      <c r="I525" s="17">
        <v>58.18</v>
      </c>
      <c r="J525" s="17">
        <v>19.899999999999999</v>
      </c>
      <c r="K525" s="17">
        <v>457.53</v>
      </c>
      <c r="L525" s="12"/>
    </row>
    <row r="526" spans="1:12" ht="16" x14ac:dyDescent="0.2">
      <c r="A526" s="7"/>
      <c r="B526" s="7"/>
      <c r="G526" s="15">
        <v>45420</v>
      </c>
      <c r="H526" s="16">
        <v>0.375</v>
      </c>
      <c r="I526" s="17">
        <v>57.66</v>
      </c>
      <c r="J526" s="17">
        <v>19.36</v>
      </c>
      <c r="K526" s="17">
        <v>451.7</v>
      </c>
      <c r="L526" s="12"/>
    </row>
    <row r="527" spans="1:12" ht="16" x14ac:dyDescent="0.2">
      <c r="A527" s="7"/>
      <c r="B527" s="7"/>
      <c r="G527" s="15">
        <v>45420</v>
      </c>
      <c r="H527" s="16">
        <v>0.41666666666666669</v>
      </c>
      <c r="I527" s="17">
        <v>54.99</v>
      </c>
      <c r="J527" s="17">
        <v>25.36</v>
      </c>
      <c r="K527" s="17">
        <v>440.29</v>
      </c>
      <c r="L527" s="12"/>
    </row>
    <row r="528" spans="1:12" ht="16" x14ac:dyDescent="0.2">
      <c r="A528" s="7"/>
      <c r="B528" s="7"/>
      <c r="G528" s="15">
        <v>45420</v>
      </c>
      <c r="H528" s="16">
        <v>0.45833333333333331</v>
      </c>
      <c r="I528" s="17">
        <v>52.12</v>
      </c>
      <c r="J528" s="17">
        <v>24.64</v>
      </c>
      <c r="K528" s="17">
        <v>446.22</v>
      </c>
      <c r="L528" s="12"/>
    </row>
    <row r="529" spans="1:12" ht="16" x14ac:dyDescent="0.2">
      <c r="A529" s="7"/>
      <c r="B529" s="7"/>
      <c r="G529" s="15">
        <v>45420</v>
      </c>
      <c r="H529" s="16">
        <v>0.5</v>
      </c>
      <c r="I529" s="17">
        <v>51.71</v>
      </c>
      <c r="J529" s="17">
        <v>21.44</v>
      </c>
      <c r="K529" s="17">
        <v>436.69</v>
      </c>
      <c r="L529" s="12"/>
    </row>
    <row r="530" spans="1:12" ht="16" x14ac:dyDescent="0.2">
      <c r="A530" s="7"/>
      <c r="B530" s="7"/>
      <c r="G530" s="15">
        <v>45420</v>
      </c>
      <c r="H530" s="16">
        <v>0.54166666666666663</v>
      </c>
      <c r="I530" s="17">
        <v>51.5</v>
      </c>
      <c r="J530" s="17">
        <v>21.78</v>
      </c>
      <c r="K530" s="17">
        <v>431.63</v>
      </c>
      <c r="L530" s="12"/>
    </row>
    <row r="531" spans="1:12" ht="16" x14ac:dyDescent="0.2">
      <c r="A531" s="7"/>
      <c r="B531" s="7"/>
      <c r="G531" s="15">
        <v>45420</v>
      </c>
      <c r="H531" s="16">
        <v>0.58333333333333337</v>
      </c>
      <c r="I531" s="17">
        <v>51.53</v>
      </c>
      <c r="J531" s="17">
        <v>21.89</v>
      </c>
      <c r="K531" s="17">
        <v>427.53</v>
      </c>
      <c r="L531" s="12"/>
    </row>
    <row r="532" spans="1:12" ht="16" x14ac:dyDescent="0.2">
      <c r="A532" s="7"/>
      <c r="B532" s="7"/>
      <c r="G532" s="15">
        <v>45420</v>
      </c>
      <c r="H532" s="16">
        <v>0.625</v>
      </c>
      <c r="I532" s="17">
        <v>52.08</v>
      </c>
      <c r="J532" s="17">
        <v>21.29</v>
      </c>
      <c r="K532" s="17">
        <v>425.81</v>
      </c>
      <c r="L532" s="12"/>
    </row>
    <row r="533" spans="1:12" ht="16" x14ac:dyDescent="0.2">
      <c r="A533" s="7"/>
      <c r="B533" s="7"/>
      <c r="G533" s="15">
        <v>45420</v>
      </c>
      <c r="H533" s="16">
        <v>0.66666666666666663</v>
      </c>
      <c r="I533" s="17">
        <v>52.74</v>
      </c>
      <c r="J533" s="17">
        <v>19.93</v>
      </c>
      <c r="K533" s="17">
        <v>427.26</v>
      </c>
      <c r="L533" s="12"/>
    </row>
    <row r="534" spans="1:12" ht="16" x14ac:dyDescent="0.2">
      <c r="A534" s="7"/>
      <c r="B534" s="7"/>
      <c r="G534" s="15">
        <v>45420</v>
      </c>
      <c r="H534" s="16">
        <v>0.70833333333333337</v>
      </c>
      <c r="I534" s="17">
        <v>53.35</v>
      </c>
      <c r="J534" s="17">
        <v>20.56</v>
      </c>
      <c r="K534" s="17">
        <v>431.22</v>
      </c>
      <c r="L534" s="12"/>
    </row>
    <row r="535" spans="1:12" ht="16" x14ac:dyDescent="0.2">
      <c r="A535" s="7"/>
      <c r="B535" s="7"/>
      <c r="G535" s="15">
        <v>45420</v>
      </c>
      <c r="H535" s="16">
        <v>0.75</v>
      </c>
      <c r="I535" s="17">
        <v>54.04</v>
      </c>
      <c r="J535" s="17">
        <v>17.079999999999998</v>
      </c>
      <c r="K535" s="17">
        <v>442.97</v>
      </c>
      <c r="L535" s="12"/>
    </row>
    <row r="536" spans="1:12" ht="16" x14ac:dyDescent="0.2">
      <c r="A536" s="7"/>
      <c r="B536" s="7"/>
      <c r="G536" s="15">
        <v>45420</v>
      </c>
      <c r="H536" s="16">
        <v>0.79166666666666663</v>
      </c>
      <c r="I536" s="17">
        <v>55.52</v>
      </c>
      <c r="J536" s="17">
        <v>17.420000000000002</v>
      </c>
      <c r="K536" s="17">
        <v>450.23</v>
      </c>
      <c r="L536" s="12"/>
    </row>
    <row r="537" spans="1:12" ht="16" x14ac:dyDescent="0.2">
      <c r="A537" s="7"/>
      <c r="B537" s="7"/>
      <c r="G537" s="15">
        <v>45420</v>
      </c>
      <c r="H537" s="16">
        <v>0.83333333333333337</v>
      </c>
      <c r="I537" s="17">
        <v>53.51</v>
      </c>
      <c r="J537" s="17">
        <v>20.28</v>
      </c>
      <c r="K537" s="17">
        <v>449.16</v>
      </c>
      <c r="L537" s="12"/>
    </row>
    <row r="538" spans="1:12" ht="16" x14ac:dyDescent="0.2">
      <c r="A538" s="7"/>
      <c r="B538" s="7"/>
      <c r="G538" s="15">
        <v>45420</v>
      </c>
      <c r="H538" s="16">
        <v>0.875</v>
      </c>
      <c r="I538" s="17">
        <v>51.36</v>
      </c>
      <c r="J538" s="17">
        <v>21.47</v>
      </c>
      <c r="K538" s="17">
        <v>445.03</v>
      </c>
      <c r="L538" s="12"/>
    </row>
    <row r="539" spans="1:12" ht="16" x14ac:dyDescent="0.2">
      <c r="A539" s="7"/>
      <c r="B539" s="7"/>
      <c r="G539" s="15">
        <v>45420</v>
      </c>
      <c r="H539" s="16">
        <v>0.91666666666666663</v>
      </c>
      <c r="I539" s="17">
        <v>51.29</v>
      </c>
      <c r="J539" s="17">
        <v>20.67</v>
      </c>
      <c r="K539" s="17">
        <v>449.88</v>
      </c>
      <c r="L539" s="12"/>
    </row>
    <row r="540" spans="1:12" ht="16" x14ac:dyDescent="0.2">
      <c r="A540" s="7"/>
      <c r="B540" s="7"/>
      <c r="G540" s="15">
        <v>45420</v>
      </c>
      <c r="H540" s="16">
        <v>0.95833333333333337</v>
      </c>
      <c r="I540" s="17">
        <v>52.22</v>
      </c>
      <c r="J540" s="17">
        <v>19.87</v>
      </c>
      <c r="K540" s="17">
        <v>451.06</v>
      </c>
      <c r="L540" s="12"/>
    </row>
    <row r="541" spans="1:12" ht="16" x14ac:dyDescent="0.2">
      <c r="A541" s="7"/>
      <c r="B541" s="7"/>
      <c r="G541" s="15">
        <v>45421</v>
      </c>
      <c r="H541" s="16">
        <v>0</v>
      </c>
      <c r="I541" s="17">
        <v>53.92</v>
      </c>
      <c r="J541" s="17">
        <v>19.36</v>
      </c>
      <c r="K541" s="17">
        <v>454.51</v>
      </c>
      <c r="L541" s="12"/>
    </row>
    <row r="542" spans="1:12" ht="16" x14ac:dyDescent="0.2">
      <c r="A542" s="7"/>
      <c r="B542" s="7"/>
      <c r="G542" s="15">
        <v>45421</v>
      </c>
      <c r="H542" s="16">
        <v>4.1666666666666664E-2</v>
      </c>
      <c r="I542" s="17">
        <v>55.25</v>
      </c>
      <c r="J542" s="17">
        <v>18.96</v>
      </c>
      <c r="K542" s="17">
        <v>453.87</v>
      </c>
      <c r="L542" s="12"/>
    </row>
    <row r="543" spans="1:12" ht="16" x14ac:dyDescent="0.2">
      <c r="A543" s="7"/>
      <c r="B543" s="7"/>
      <c r="G543" s="15">
        <v>45421</v>
      </c>
      <c r="H543" s="16">
        <v>8.3333333333333329E-2</v>
      </c>
      <c r="I543" s="17">
        <v>56.38</v>
      </c>
      <c r="J543" s="17">
        <v>18.47</v>
      </c>
      <c r="K543" s="17">
        <v>453.39</v>
      </c>
      <c r="L543" s="12"/>
    </row>
    <row r="544" spans="1:12" ht="16" x14ac:dyDescent="0.2">
      <c r="A544" s="7"/>
      <c r="B544" s="7"/>
      <c r="G544" s="15">
        <v>45421</v>
      </c>
      <c r="H544" s="16">
        <v>0.125</v>
      </c>
      <c r="I544" s="17">
        <v>57.56</v>
      </c>
      <c r="J544" s="17">
        <v>17.989999999999998</v>
      </c>
      <c r="K544" s="17">
        <v>453.93</v>
      </c>
      <c r="L544" s="12"/>
    </row>
    <row r="545" spans="1:12" ht="16" x14ac:dyDescent="0.2">
      <c r="A545" s="7"/>
      <c r="B545" s="7"/>
      <c r="G545" s="15">
        <v>45421</v>
      </c>
      <c r="H545" s="16">
        <v>0.16666666666666666</v>
      </c>
      <c r="I545" s="17">
        <v>58.69</v>
      </c>
      <c r="J545" s="17">
        <v>17.5</v>
      </c>
      <c r="K545" s="17">
        <v>455.82</v>
      </c>
      <c r="L545" s="12"/>
    </row>
    <row r="546" spans="1:12" ht="16" x14ac:dyDescent="0.2">
      <c r="A546" s="7"/>
      <c r="B546" s="7"/>
      <c r="G546" s="15">
        <v>45421</v>
      </c>
      <c r="H546" s="16">
        <v>0.20833333333333334</v>
      </c>
      <c r="I546" s="17">
        <v>59.91</v>
      </c>
      <c r="J546" s="17">
        <v>16.7</v>
      </c>
      <c r="K546" s="17">
        <v>457.33</v>
      </c>
      <c r="L546" s="12"/>
    </row>
    <row r="547" spans="1:12" ht="16" x14ac:dyDescent="0.2">
      <c r="A547" s="7"/>
      <c r="B547" s="7"/>
      <c r="G547" s="15">
        <v>45421</v>
      </c>
      <c r="H547" s="16">
        <v>0.25</v>
      </c>
      <c r="I547" s="17">
        <v>60.77</v>
      </c>
      <c r="J547" s="17">
        <v>16.79</v>
      </c>
      <c r="K547" s="17">
        <v>461.11</v>
      </c>
      <c r="L547" s="12"/>
    </row>
    <row r="548" spans="1:12" ht="16" x14ac:dyDescent="0.2">
      <c r="A548" s="7"/>
      <c r="B548" s="7"/>
      <c r="G548" s="15">
        <v>45421</v>
      </c>
      <c r="H548" s="16">
        <v>0.29166666666666669</v>
      </c>
      <c r="I548" s="17">
        <v>59.25</v>
      </c>
      <c r="J548" s="17">
        <v>19.579999999999998</v>
      </c>
      <c r="K548" s="17">
        <v>464.83</v>
      </c>
      <c r="L548" s="12"/>
    </row>
    <row r="549" spans="1:12" ht="16" x14ac:dyDescent="0.2">
      <c r="A549" s="7"/>
      <c r="B549" s="7"/>
      <c r="G549" s="15">
        <v>45421</v>
      </c>
      <c r="H549" s="16">
        <v>0.33333333333333331</v>
      </c>
      <c r="I549" s="17">
        <v>57.23</v>
      </c>
      <c r="J549" s="17">
        <v>21.7</v>
      </c>
      <c r="K549" s="17">
        <v>453.41</v>
      </c>
      <c r="L549" s="12"/>
    </row>
    <row r="550" spans="1:12" ht="16" x14ac:dyDescent="0.2">
      <c r="A550" s="7"/>
      <c r="B550" s="7"/>
      <c r="G550" s="15">
        <v>45421</v>
      </c>
      <c r="H550" s="16">
        <v>0.375</v>
      </c>
      <c r="I550" s="17">
        <v>57.31</v>
      </c>
      <c r="J550" s="17">
        <v>23.91</v>
      </c>
      <c r="K550" s="17">
        <v>445.73</v>
      </c>
      <c r="L550" s="12"/>
    </row>
    <row r="551" spans="1:12" ht="16" x14ac:dyDescent="0.2">
      <c r="A551" s="7"/>
      <c r="B551" s="7"/>
      <c r="G551" s="15">
        <v>45421</v>
      </c>
      <c r="H551" s="16">
        <v>0.41666666666666669</v>
      </c>
      <c r="I551" s="17">
        <v>55.59</v>
      </c>
      <c r="J551" s="17">
        <v>24.02</v>
      </c>
      <c r="K551" s="17">
        <v>440.42</v>
      </c>
      <c r="L551" s="12"/>
    </row>
    <row r="552" spans="1:12" ht="16" x14ac:dyDescent="0.2">
      <c r="A552" s="7"/>
      <c r="B552" s="7"/>
      <c r="G552" s="15">
        <v>45421</v>
      </c>
      <c r="H552" s="16">
        <v>0.45833333333333331</v>
      </c>
      <c r="I552" s="17">
        <v>53.89</v>
      </c>
      <c r="J552" s="17">
        <v>24.06</v>
      </c>
      <c r="K552" s="17">
        <v>434.99</v>
      </c>
      <c r="L552" s="12"/>
    </row>
    <row r="553" spans="1:12" ht="16" x14ac:dyDescent="0.2">
      <c r="A553" s="7"/>
      <c r="B553" s="7"/>
      <c r="G553" s="15">
        <v>45421</v>
      </c>
      <c r="H553" s="16">
        <v>0.5</v>
      </c>
      <c r="I553" s="17">
        <v>52.38</v>
      </c>
      <c r="J553" s="17">
        <v>24.91</v>
      </c>
      <c r="K553" s="17">
        <v>429.78</v>
      </c>
      <c r="L553" s="12"/>
    </row>
    <row r="554" spans="1:12" ht="16" x14ac:dyDescent="0.2">
      <c r="A554" s="7"/>
      <c r="B554" s="7"/>
      <c r="G554" s="15">
        <v>45421</v>
      </c>
      <c r="H554" s="16">
        <v>0.54166666666666663</v>
      </c>
      <c r="I554" s="17">
        <v>51.43</v>
      </c>
      <c r="J554" s="17">
        <v>24.97</v>
      </c>
      <c r="K554" s="17">
        <v>421.89</v>
      </c>
      <c r="L554" s="12"/>
    </row>
    <row r="555" spans="1:12" ht="16" x14ac:dyDescent="0.2">
      <c r="A555" s="7"/>
      <c r="B555" s="7"/>
      <c r="G555" s="15">
        <v>45421</v>
      </c>
      <c r="H555" s="16">
        <v>0.58333333333333337</v>
      </c>
      <c r="I555" s="17">
        <v>51.2</v>
      </c>
      <c r="J555" s="17">
        <v>24.49</v>
      </c>
      <c r="K555" s="17">
        <v>418.25</v>
      </c>
      <c r="L555" s="12"/>
    </row>
    <row r="556" spans="1:12" ht="16" x14ac:dyDescent="0.2">
      <c r="A556" s="7"/>
      <c r="B556" s="7"/>
      <c r="G556" s="15">
        <v>45421</v>
      </c>
      <c r="H556" s="16">
        <v>0.625</v>
      </c>
      <c r="I556" s="17">
        <v>51.31</v>
      </c>
      <c r="J556" s="17">
        <v>24.31</v>
      </c>
      <c r="K556" s="17">
        <v>415.64</v>
      </c>
      <c r="L556" s="12"/>
    </row>
    <row r="557" spans="1:12" ht="16" x14ac:dyDescent="0.2">
      <c r="A557" s="7"/>
      <c r="B557" s="7"/>
      <c r="G557" s="15">
        <v>45421</v>
      </c>
      <c r="H557" s="16">
        <v>0.66666666666666663</v>
      </c>
      <c r="I557" s="17">
        <v>52.11</v>
      </c>
      <c r="J557" s="17">
        <v>22.85</v>
      </c>
      <c r="K557" s="17">
        <v>415.64</v>
      </c>
      <c r="L557" s="12"/>
    </row>
    <row r="558" spans="1:12" ht="16" x14ac:dyDescent="0.2">
      <c r="A558" s="7"/>
      <c r="B558" s="7"/>
      <c r="G558" s="15">
        <v>45421</v>
      </c>
      <c r="H558" s="16">
        <v>0.70833333333333337</v>
      </c>
      <c r="I558" s="17">
        <v>53.6</v>
      </c>
      <c r="J558" s="17">
        <v>21.67</v>
      </c>
      <c r="K558" s="17">
        <v>416.7</v>
      </c>
      <c r="L558" s="12"/>
    </row>
    <row r="559" spans="1:12" ht="16" x14ac:dyDescent="0.2">
      <c r="A559" s="7"/>
      <c r="B559" s="7"/>
      <c r="G559" s="15">
        <v>45421</v>
      </c>
      <c r="H559" s="16">
        <v>0.75</v>
      </c>
      <c r="I559" s="17">
        <v>54.19</v>
      </c>
      <c r="J559" s="17">
        <v>25.15</v>
      </c>
      <c r="K559" s="17">
        <v>421.94</v>
      </c>
      <c r="L559" s="12"/>
    </row>
    <row r="560" spans="1:12" ht="16" x14ac:dyDescent="0.2">
      <c r="A560" s="7"/>
      <c r="B560" s="7"/>
      <c r="G560" s="15">
        <v>45421</v>
      </c>
      <c r="H560" s="16">
        <v>0.79166666666666663</v>
      </c>
      <c r="I560" s="17">
        <v>53.89</v>
      </c>
      <c r="J560" s="17">
        <v>23.47</v>
      </c>
      <c r="K560" s="17">
        <v>423.74</v>
      </c>
      <c r="L560" s="12"/>
    </row>
    <row r="561" spans="1:12" ht="16" x14ac:dyDescent="0.2">
      <c r="A561" s="7"/>
      <c r="B561" s="7"/>
      <c r="G561" s="15">
        <v>45421</v>
      </c>
      <c r="H561" s="16">
        <v>0.83333333333333337</v>
      </c>
      <c r="I561" s="17">
        <v>54.7</v>
      </c>
      <c r="J561" s="17">
        <v>25.02</v>
      </c>
      <c r="K561" s="17">
        <v>426.98</v>
      </c>
      <c r="L561" s="12"/>
    </row>
    <row r="562" spans="1:12" ht="16" x14ac:dyDescent="0.2">
      <c r="A562" s="7"/>
      <c r="B562" s="7"/>
      <c r="G562" s="15">
        <v>45421</v>
      </c>
      <c r="H562" s="16">
        <v>0.875</v>
      </c>
      <c r="I562" s="17">
        <v>55.77</v>
      </c>
      <c r="J562" s="17">
        <v>24.29</v>
      </c>
      <c r="K562" s="17">
        <v>429.6</v>
      </c>
      <c r="L562" s="12"/>
    </row>
    <row r="563" spans="1:12" ht="16" x14ac:dyDescent="0.2">
      <c r="A563" s="7"/>
      <c r="B563" s="7"/>
      <c r="G563" s="15">
        <v>45421</v>
      </c>
      <c r="H563" s="16">
        <v>0.91666666666666663</v>
      </c>
      <c r="I563" s="17">
        <v>56.28</v>
      </c>
      <c r="J563" s="17">
        <v>23.57</v>
      </c>
      <c r="K563" s="17">
        <v>433.17</v>
      </c>
      <c r="L563" s="12"/>
    </row>
    <row r="564" spans="1:12" ht="16" x14ac:dyDescent="0.2">
      <c r="A564" s="7"/>
      <c r="B564" s="7"/>
      <c r="G564" s="15">
        <v>45421</v>
      </c>
      <c r="H564" s="16">
        <v>0.95833333333333337</v>
      </c>
      <c r="I564" s="17">
        <v>56.09</v>
      </c>
      <c r="J564" s="17">
        <v>22.87</v>
      </c>
      <c r="K564" s="17">
        <v>434.93</v>
      </c>
      <c r="L564" s="12"/>
    </row>
    <row r="565" spans="1:12" ht="16" x14ac:dyDescent="0.2">
      <c r="A565" s="7"/>
      <c r="B565" s="7"/>
      <c r="G565" s="15">
        <v>45422</v>
      </c>
      <c r="H565" s="16">
        <v>0</v>
      </c>
      <c r="I565" s="17">
        <v>56.12</v>
      </c>
      <c r="J565" s="17">
        <v>21.91</v>
      </c>
      <c r="K565" s="17">
        <v>436.56</v>
      </c>
      <c r="L565" s="12"/>
    </row>
    <row r="566" spans="1:12" ht="16" x14ac:dyDescent="0.2">
      <c r="A566" s="7"/>
      <c r="B566" s="7"/>
      <c r="G566" s="15">
        <v>45422</v>
      </c>
      <c r="H566" s="16">
        <v>4.1666666666666664E-2</v>
      </c>
      <c r="I566" s="17">
        <v>56.82</v>
      </c>
      <c r="J566" s="17">
        <v>21.05</v>
      </c>
      <c r="K566" s="17">
        <v>442.84</v>
      </c>
      <c r="L566" s="12"/>
    </row>
    <row r="567" spans="1:12" ht="16" x14ac:dyDescent="0.2">
      <c r="A567" s="7"/>
      <c r="B567" s="7"/>
      <c r="G567" s="15">
        <v>45422</v>
      </c>
      <c r="H567" s="16">
        <v>8.3333333333333329E-2</v>
      </c>
      <c r="I567" s="17">
        <v>57.01</v>
      </c>
      <c r="J567" s="17">
        <v>21.01</v>
      </c>
      <c r="K567" s="17">
        <v>444.37</v>
      </c>
      <c r="L567" s="12"/>
    </row>
    <row r="568" spans="1:12" ht="16" x14ac:dyDescent="0.2">
      <c r="A568" s="7"/>
      <c r="B568" s="7"/>
      <c r="G568" s="15">
        <v>45422</v>
      </c>
      <c r="H568" s="16">
        <v>0.125</v>
      </c>
      <c r="I568" s="17">
        <v>56.79</v>
      </c>
      <c r="J568" s="17">
        <v>20.85</v>
      </c>
      <c r="K568" s="17">
        <v>441.1</v>
      </c>
      <c r="L568" s="12"/>
    </row>
    <row r="569" spans="1:12" ht="16" x14ac:dyDescent="0.2">
      <c r="A569" s="7"/>
      <c r="B569" s="7"/>
      <c r="G569" s="15">
        <v>45422</v>
      </c>
      <c r="H569" s="16">
        <v>0.16666666666666666</v>
      </c>
      <c r="I569" s="17">
        <v>56.54</v>
      </c>
      <c r="J569" s="17">
        <v>20.84</v>
      </c>
      <c r="K569" s="17">
        <v>441.45</v>
      </c>
      <c r="L569" s="12"/>
    </row>
    <row r="570" spans="1:12" ht="16" x14ac:dyDescent="0.2">
      <c r="A570" s="7"/>
      <c r="B570" s="7"/>
      <c r="G570" s="15">
        <v>45422</v>
      </c>
      <c r="H570" s="16">
        <v>0.20833333333333334</v>
      </c>
      <c r="I570" s="17">
        <v>55.07</v>
      </c>
      <c r="J570" s="17">
        <v>21.35</v>
      </c>
      <c r="K570" s="17">
        <v>436.08</v>
      </c>
      <c r="L570" s="12"/>
    </row>
    <row r="571" spans="1:12" ht="16" x14ac:dyDescent="0.2">
      <c r="A571" s="7"/>
      <c r="B571" s="7"/>
      <c r="G571" s="15">
        <v>45422</v>
      </c>
      <c r="H571" s="16">
        <v>0.25</v>
      </c>
      <c r="I571" s="17">
        <v>53.98</v>
      </c>
      <c r="J571" s="17">
        <v>21.59</v>
      </c>
      <c r="K571" s="17">
        <v>435.97</v>
      </c>
      <c r="L571" s="12"/>
    </row>
    <row r="572" spans="1:12" ht="16" x14ac:dyDescent="0.2">
      <c r="A572" s="7"/>
      <c r="B572" s="7"/>
      <c r="G572" s="15">
        <v>45422</v>
      </c>
      <c r="H572" s="16">
        <v>0.29166666666666669</v>
      </c>
      <c r="I572" s="17">
        <v>53.46</v>
      </c>
      <c r="J572" s="17">
        <v>24.88</v>
      </c>
      <c r="K572" s="17">
        <v>430.72</v>
      </c>
      <c r="L572" s="12"/>
    </row>
    <row r="573" spans="1:12" ht="16" x14ac:dyDescent="0.2">
      <c r="A573" s="7"/>
      <c r="B573" s="7"/>
      <c r="G573" s="15">
        <v>45422</v>
      </c>
      <c r="H573" s="16">
        <v>0.33333333333333331</v>
      </c>
      <c r="I573" s="17">
        <v>53.05</v>
      </c>
      <c r="J573" s="17">
        <v>24</v>
      </c>
      <c r="K573" s="17">
        <v>423.21</v>
      </c>
      <c r="L573" s="12"/>
    </row>
    <row r="574" spans="1:12" ht="16" x14ac:dyDescent="0.2">
      <c r="A574" s="7"/>
      <c r="B574" s="7"/>
      <c r="G574" s="15">
        <v>45422</v>
      </c>
      <c r="H574" s="16">
        <v>0.375</v>
      </c>
      <c r="I574" s="17">
        <v>52.95</v>
      </c>
      <c r="J574" s="17">
        <v>20.69</v>
      </c>
      <c r="K574" s="17">
        <v>422.79</v>
      </c>
      <c r="L574" s="12"/>
    </row>
    <row r="575" spans="1:12" ht="16" x14ac:dyDescent="0.2">
      <c r="A575" s="7"/>
      <c r="B575" s="7"/>
      <c r="G575" s="15">
        <v>45422</v>
      </c>
      <c r="H575" s="16">
        <v>0.41666666666666669</v>
      </c>
      <c r="I575" s="17">
        <v>51.58</v>
      </c>
      <c r="J575" s="17">
        <v>24.34</v>
      </c>
      <c r="K575" s="17">
        <v>420.96</v>
      </c>
      <c r="L575" s="12"/>
    </row>
    <row r="576" spans="1:12" ht="16" x14ac:dyDescent="0.2">
      <c r="A576" s="7"/>
      <c r="B576" s="7"/>
      <c r="G576" s="15">
        <v>45422</v>
      </c>
      <c r="H576" s="16">
        <v>0.45833333333333331</v>
      </c>
      <c r="I576" s="17">
        <v>51.28</v>
      </c>
      <c r="J576" s="17">
        <v>26.33</v>
      </c>
      <c r="K576" s="17">
        <v>417.91</v>
      </c>
      <c r="L576" s="12"/>
    </row>
    <row r="577" spans="1:12" ht="16" x14ac:dyDescent="0.2">
      <c r="A577" s="7"/>
      <c r="B577" s="7"/>
      <c r="G577" s="15">
        <v>45422</v>
      </c>
      <c r="H577" s="16">
        <v>0.5</v>
      </c>
      <c r="I577" s="17">
        <v>50.92</v>
      </c>
      <c r="J577" s="17">
        <v>25.9</v>
      </c>
      <c r="K577" s="17">
        <v>419.94</v>
      </c>
      <c r="L577" s="12"/>
    </row>
    <row r="578" spans="1:12" ht="16" x14ac:dyDescent="0.2">
      <c r="A578" s="7"/>
      <c r="B578" s="7"/>
      <c r="G578" s="15">
        <v>45422</v>
      </c>
      <c r="H578" s="16">
        <v>0.54166666666666663</v>
      </c>
      <c r="I578" s="17">
        <v>49.86</v>
      </c>
      <c r="J578" s="17">
        <v>25.33</v>
      </c>
      <c r="K578" s="17">
        <v>418.44</v>
      </c>
      <c r="L578" s="12"/>
    </row>
    <row r="579" spans="1:12" ht="16" x14ac:dyDescent="0.2">
      <c r="A579" s="7"/>
      <c r="B579" s="7"/>
      <c r="G579" s="15">
        <v>45422</v>
      </c>
      <c r="H579" s="16">
        <v>0.58333333333333337</v>
      </c>
      <c r="I579" s="17">
        <v>50.75</v>
      </c>
      <c r="J579" s="17">
        <v>25.01</v>
      </c>
      <c r="K579" s="17">
        <v>410.95</v>
      </c>
      <c r="L579" s="12"/>
    </row>
    <row r="580" spans="1:12" ht="16" x14ac:dyDescent="0.2">
      <c r="A580" s="7"/>
      <c r="B580" s="7"/>
      <c r="G580" s="15">
        <v>45422</v>
      </c>
      <c r="H580" s="16">
        <v>0.625</v>
      </c>
      <c r="I580" s="17">
        <v>51.99</v>
      </c>
      <c r="J580" s="17">
        <v>25.76</v>
      </c>
      <c r="K580" s="17">
        <v>411.34</v>
      </c>
      <c r="L580" s="12"/>
    </row>
    <row r="581" spans="1:12" ht="16" x14ac:dyDescent="0.2">
      <c r="A581" s="7"/>
      <c r="B581" s="7"/>
      <c r="G581" s="15">
        <v>45422</v>
      </c>
      <c r="H581" s="16">
        <v>0.66666666666666663</v>
      </c>
      <c r="I581" s="17">
        <v>52.54</v>
      </c>
      <c r="J581" s="17">
        <v>25.51</v>
      </c>
      <c r="K581" s="17">
        <v>410.9</v>
      </c>
      <c r="L581" s="12"/>
    </row>
    <row r="582" spans="1:12" ht="16" x14ac:dyDescent="0.2">
      <c r="A582" s="7"/>
      <c r="B582" s="7"/>
      <c r="G582" s="15">
        <v>45422</v>
      </c>
      <c r="H582" s="16">
        <v>0.70833333333333337</v>
      </c>
      <c r="I582" s="17">
        <v>54.59</v>
      </c>
      <c r="J582" s="17">
        <v>20.95</v>
      </c>
      <c r="K582" s="17">
        <v>414.32</v>
      </c>
      <c r="L582" s="12"/>
    </row>
    <row r="583" spans="1:12" ht="16" x14ac:dyDescent="0.2">
      <c r="A583" s="7"/>
      <c r="B583" s="7"/>
      <c r="G583" s="15">
        <v>45422</v>
      </c>
      <c r="H583" s="16">
        <v>0.75</v>
      </c>
      <c r="I583" s="17">
        <v>56.16</v>
      </c>
      <c r="J583" s="17">
        <v>20.66</v>
      </c>
      <c r="K583" s="17">
        <v>421.24</v>
      </c>
      <c r="L583" s="12"/>
    </row>
    <row r="584" spans="1:12" ht="16" x14ac:dyDescent="0.2">
      <c r="A584" s="7"/>
      <c r="B584" s="7"/>
      <c r="G584" s="15">
        <v>45422</v>
      </c>
      <c r="H584" s="16">
        <v>0.79166666666666663</v>
      </c>
      <c r="I584" s="17">
        <v>54.76</v>
      </c>
      <c r="J584" s="17">
        <v>23.01</v>
      </c>
      <c r="K584" s="17">
        <v>423.56</v>
      </c>
      <c r="L584" s="12"/>
    </row>
    <row r="585" spans="1:12" ht="16" x14ac:dyDescent="0.2">
      <c r="A585" s="7"/>
      <c r="B585" s="7"/>
      <c r="G585" s="15">
        <v>45422</v>
      </c>
      <c r="H585" s="16">
        <v>0.83333333333333337</v>
      </c>
      <c r="I585" s="17">
        <v>51.52</v>
      </c>
      <c r="J585" s="17">
        <v>26.06</v>
      </c>
      <c r="K585" s="17">
        <v>422.03</v>
      </c>
      <c r="L585" s="12"/>
    </row>
    <row r="586" spans="1:12" ht="16" x14ac:dyDescent="0.2">
      <c r="A586" s="7"/>
      <c r="B586" s="7"/>
      <c r="G586" s="15">
        <v>45422</v>
      </c>
      <c r="H586" s="16">
        <v>0.875</v>
      </c>
      <c r="I586" s="17">
        <v>50.43</v>
      </c>
      <c r="J586" s="17">
        <v>25.66</v>
      </c>
      <c r="K586" s="17">
        <v>423.91</v>
      </c>
      <c r="L586" s="12"/>
    </row>
    <row r="587" spans="1:12" ht="16" x14ac:dyDescent="0.2">
      <c r="A587" s="7"/>
      <c r="B587" s="7"/>
      <c r="G587" s="15">
        <v>45422</v>
      </c>
      <c r="H587" s="16">
        <v>0.91666666666666663</v>
      </c>
      <c r="I587" s="17">
        <v>50.2</v>
      </c>
      <c r="J587" s="17">
        <v>25.03</v>
      </c>
      <c r="K587" s="17">
        <v>430.33</v>
      </c>
      <c r="L587" s="12"/>
    </row>
    <row r="588" spans="1:12" ht="16" x14ac:dyDescent="0.2">
      <c r="A588" s="7"/>
      <c r="B588" s="7"/>
      <c r="G588" s="15">
        <v>45422</v>
      </c>
      <c r="H588" s="16">
        <v>0.95833333333333337</v>
      </c>
      <c r="I588" s="17">
        <v>50.05</v>
      </c>
      <c r="J588" s="17">
        <v>24.68</v>
      </c>
      <c r="K588" s="17">
        <v>435.34</v>
      </c>
      <c r="L588" s="12"/>
    </row>
    <row r="589" spans="1:12" ht="16" x14ac:dyDescent="0.2">
      <c r="A589" s="7"/>
      <c r="B589" s="7"/>
      <c r="G589" s="15">
        <v>45423</v>
      </c>
      <c r="H589" s="16">
        <v>0</v>
      </c>
      <c r="I589" s="17">
        <v>49.82</v>
      </c>
      <c r="J589" s="17">
        <v>24.82</v>
      </c>
      <c r="K589" s="17">
        <v>442.36</v>
      </c>
      <c r="L589" s="12"/>
    </row>
    <row r="590" spans="1:12" ht="16" x14ac:dyDescent="0.2">
      <c r="A590" s="7"/>
      <c r="B590" s="7"/>
      <c r="G590" s="15">
        <v>45423</v>
      </c>
      <c r="H590" s="16">
        <v>4.1666666666666664E-2</v>
      </c>
      <c r="I590" s="17">
        <v>49.81</v>
      </c>
      <c r="J590" s="17">
        <v>24.72</v>
      </c>
      <c r="K590" s="17">
        <v>442.77</v>
      </c>
      <c r="L590" s="12"/>
    </row>
    <row r="591" spans="1:12" ht="16" x14ac:dyDescent="0.2">
      <c r="A591" s="7"/>
      <c r="B591" s="7"/>
      <c r="G591" s="15">
        <v>45423</v>
      </c>
      <c r="H591" s="16">
        <v>8.3333333333333329E-2</v>
      </c>
      <c r="I591" s="17">
        <v>50.35</v>
      </c>
      <c r="J591" s="17">
        <v>23.36</v>
      </c>
      <c r="K591" s="17">
        <v>447.66</v>
      </c>
      <c r="L591" s="12"/>
    </row>
    <row r="592" spans="1:12" ht="16" x14ac:dyDescent="0.2">
      <c r="A592" s="7"/>
      <c r="B592" s="7"/>
      <c r="G592" s="15">
        <v>45423</v>
      </c>
      <c r="H592" s="16">
        <v>0.125</v>
      </c>
      <c r="I592" s="17">
        <v>52.15</v>
      </c>
      <c r="J592" s="17">
        <v>21.85</v>
      </c>
      <c r="K592" s="17">
        <v>454.12</v>
      </c>
      <c r="L592" s="12"/>
    </row>
    <row r="593" spans="1:12" ht="16" x14ac:dyDescent="0.2">
      <c r="A593" s="7"/>
      <c r="B593" s="7"/>
      <c r="G593" s="15">
        <v>45423</v>
      </c>
      <c r="H593" s="16">
        <v>0.16666666666666666</v>
      </c>
      <c r="I593" s="17">
        <v>53.43</v>
      </c>
      <c r="J593" s="17">
        <v>20.58</v>
      </c>
      <c r="K593" s="17">
        <v>461.79</v>
      </c>
      <c r="L593" s="12"/>
    </row>
    <row r="594" spans="1:12" ht="16" x14ac:dyDescent="0.2">
      <c r="A594" s="7"/>
      <c r="B594" s="7"/>
      <c r="G594" s="15">
        <v>45423</v>
      </c>
      <c r="H594" s="16">
        <v>0.20833333333333334</v>
      </c>
      <c r="I594" s="17">
        <v>54.4</v>
      </c>
      <c r="J594" s="17">
        <v>20.47</v>
      </c>
      <c r="K594" s="17">
        <v>469.06</v>
      </c>
      <c r="L594" s="12"/>
    </row>
    <row r="595" spans="1:12" ht="16" x14ac:dyDescent="0.2">
      <c r="A595" s="7"/>
      <c r="B595" s="7"/>
      <c r="G595" s="15">
        <v>45423</v>
      </c>
      <c r="H595" s="16">
        <v>0.25</v>
      </c>
      <c r="I595" s="17">
        <v>52.56</v>
      </c>
      <c r="J595" s="17">
        <v>20.86</v>
      </c>
      <c r="K595" s="17">
        <v>458.85</v>
      </c>
      <c r="L595" s="12"/>
    </row>
    <row r="596" spans="1:12" ht="16" x14ac:dyDescent="0.2">
      <c r="A596" s="7"/>
      <c r="B596" s="7"/>
      <c r="G596" s="15">
        <v>45423</v>
      </c>
      <c r="H596" s="16">
        <v>0.29166666666666669</v>
      </c>
      <c r="I596" s="17">
        <v>51.4</v>
      </c>
      <c r="J596" s="17">
        <v>22.41</v>
      </c>
      <c r="K596" s="17">
        <v>447.97</v>
      </c>
      <c r="L596" s="12"/>
    </row>
    <row r="597" spans="1:12" ht="16" x14ac:dyDescent="0.2">
      <c r="A597" s="7"/>
      <c r="B597" s="7"/>
      <c r="G597" s="15">
        <v>45423</v>
      </c>
      <c r="H597" s="16">
        <v>0.33333333333333331</v>
      </c>
      <c r="I597" s="17">
        <v>49.94</v>
      </c>
      <c r="J597" s="17">
        <v>25.04</v>
      </c>
      <c r="K597" s="17">
        <v>435.72</v>
      </c>
      <c r="L597" s="12"/>
    </row>
    <row r="598" spans="1:12" ht="16" x14ac:dyDescent="0.2">
      <c r="A598" s="7"/>
      <c r="B598" s="7"/>
      <c r="G598" s="15">
        <v>45423</v>
      </c>
      <c r="H598" s="16">
        <v>0.375</v>
      </c>
      <c r="I598" s="17">
        <v>51.31</v>
      </c>
      <c r="J598" s="17">
        <v>25.25</v>
      </c>
      <c r="K598" s="17">
        <v>435.39</v>
      </c>
      <c r="L598" s="12"/>
    </row>
    <row r="599" spans="1:12" ht="16" x14ac:dyDescent="0.2">
      <c r="A599" s="7"/>
      <c r="B599" s="7"/>
      <c r="G599" s="15">
        <v>45423</v>
      </c>
      <c r="H599" s="16">
        <v>0.41666666666666669</v>
      </c>
      <c r="I599" s="17">
        <v>51.23</v>
      </c>
      <c r="J599" s="17">
        <v>23.98</v>
      </c>
      <c r="K599" s="17">
        <v>429.8</v>
      </c>
      <c r="L599" s="12"/>
    </row>
    <row r="600" spans="1:12" ht="16" x14ac:dyDescent="0.2">
      <c r="A600" s="7"/>
      <c r="B600" s="7"/>
      <c r="G600" s="15">
        <v>45423</v>
      </c>
      <c r="H600" s="16">
        <v>0.45833333333333331</v>
      </c>
      <c r="I600" s="17">
        <v>51.05</v>
      </c>
      <c r="J600" s="17">
        <v>23.77</v>
      </c>
      <c r="K600" s="17">
        <v>427.23</v>
      </c>
      <c r="L600" s="12"/>
    </row>
    <row r="601" spans="1:12" ht="16" x14ac:dyDescent="0.2">
      <c r="A601" s="7"/>
      <c r="B601" s="7"/>
      <c r="G601" s="15">
        <v>45423</v>
      </c>
      <c r="H601" s="16">
        <v>0.5</v>
      </c>
      <c r="I601" s="17">
        <v>50.33</v>
      </c>
      <c r="J601" s="17">
        <v>24.89</v>
      </c>
      <c r="K601" s="17">
        <v>425.28</v>
      </c>
      <c r="L601" s="12"/>
    </row>
    <row r="602" spans="1:12" ht="16" x14ac:dyDescent="0.2">
      <c r="A602" s="7"/>
      <c r="B602" s="7"/>
      <c r="G602" s="15">
        <v>45423</v>
      </c>
      <c r="H602" s="16">
        <v>0.54166666666666663</v>
      </c>
      <c r="I602" s="17">
        <v>50.06</v>
      </c>
      <c r="J602" s="17">
        <v>25.34</v>
      </c>
      <c r="K602" s="17">
        <v>421.04</v>
      </c>
      <c r="L602" s="12"/>
    </row>
    <row r="603" spans="1:12" ht="16" x14ac:dyDescent="0.2">
      <c r="A603" s="7"/>
      <c r="B603" s="7"/>
      <c r="G603" s="15">
        <v>45423</v>
      </c>
      <c r="H603" s="16">
        <v>0.58333333333333337</v>
      </c>
      <c r="I603" s="17">
        <v>50.57</v>
      </c>
      <c r="J603" s="17">
        <v>25.07</v>
      </c>
      <c r="K603" s="17">
        <v>418.14</v>
      </c>
      <c r="L603" s="12"/>
    </row>
    <row r="604" spans="1:12" ht="16" x14ac:dyDescent="0.2">
      <c r="A604" s="7"/>
      <c r="B604" s="7"/>
      <c r="G604" s="15">
        <v>45423</v>
      </c>
      <c r="H604" s="16">
        <v>0.625</v>
      </c>
      <c r="I604" s="17">
        <v>51.57</v>
      </c>
      <c r="J604" s="17">
        <v>24.23</v>
      </c>
      <c r="K604" s="17">
        <v>414</v>
      </c>
      <c r="L604" s="12"/>
    </row>
    <row r="605" spans="1:12" ht="16" x14ac:dyDescent="0.2">
      <c r="A605" s="7"/>
      <c r="B605" s="7"/>
      <c r="G605" s="15">
        <v>45423</v>
      </c>
      <c r="H605" s="16">
        <v>0.66666666666666663</v>
      </c>
      <c r="I605" s="17">
        <v>52.92</v>
      </c>
      <c r="J605" s="17">
        <v>23.77</v>
      </c>
      <c r="K605" s="17">
        <v>414.46</v>
      </c>
      <c r="L605" s="12"/>
    </row>
    <row r="606" spans="1:12" ht="16" x14ac:dyDescent="0.2">
      <c r="A606" s="7"/>
      <c r="B606" s="7"/>
      <c r="G606" s="15">
        <v>45423</v>
      </c>
      <c r="H606" s="16">
        <v>0.70833333333333337</v>
      </c>
      <c r="I606" s="17">
        <v>53.62</v>
      </c>
      <c r="J606" s="17">
        <v>25.34</v>
      </c>
      <c r="K606" s="17">
        <v>414.51</v>
      </c>
      <c r="L606" s="12"/>
    </row>
    <row r="607" spans="1:12" ht="16" x14ac:dyDescent="0.2">
      <c r="A607" s="7"/>
      <c r="B607" s="7"/>
      <c r="G607" s="15">
        <v>45423</v>
      </c>
      <c r="H607" s="16">
        <v>0.75</v>
      </c>
      <c r="I607" s="17">
        <v>53.97</v>
      </c>
      <c r="J607" s="17">
        <v>22.74</v>
      </c>
      <c r="K607" s="17">
        <v>417.57</v>
      </c>
      <c r="L607" s="12"/>
    </row>
    <row r="608" spans="1:12" ht="16" x14ac:dyDescent="0.2">
      <c r="A608" s="7"/>
      <c r="B608" s="7"/>
      <c r="G608" s="15">
        <v>45423</v>
      </c>
      <c r="H608" s="16">
        <v>0.79166666666666663</v>
      </c>
      <c r="I608" s="17">
        <v>55.93</v>
      </c>
      <c r="J608" s="17">
        <v>19.53</v>
      </c>
      <c r="K608" s="17">
        <v>430.39</v>
      </c>
      <c r="L608" s="12"/>
    </row>
    <row r="609" spans="1:12" ht="16" x14ac:dyDescent="0.2">
      <c r="A609" s="7"/>
      <c r="B609" s="7"/>
      <c r="G609" s="15">
        <v>45423</v>
      </c>
      <c r="H609" s="16">
        <v>0.83333333333333337</v>
      </c>
      <c r="I609" s="17">
        <v>56.68</v>
      </c>
      <c r="J609" s="17">
        <v>22.79</v>
      </c>
      <c r="K609" s="17">
        <v>432.95</v>
      </c>
      <c r="L609" s="12"/>
    </row>
    <row r="610" spans="1:12" ht="16" x14ac:dyDescent="0.2">
      <c r="A610" s="7"/>
      <c r="B610" s="7"/>
      <c r="G610" s="15">
        <v>45423</v>
      </c>
      <c r="H610" s="16">
        <v>0.875</v>
      </c>
      <c r="I610" s="17">
        <v>57.83</v>
      </c>
      <c r="J610" s="17">
        <v>21.88</v>
      </c>
      <c r="K610" s="17">
        <v>437.85</v>
      </c>
      <c r="L610" s="12"/>
    </row>
    <row r="611" spans="1:12" ht="16" x14ac:dyDescent="0.2">
      <c r="A611" s="7"/>
      <c r="B611" s="7"/>
      <c r="G611" s="15">
        <v>45423</v>
      </c>
      <c r="H611" s="16">
        <v>0.91666666666666663</v>
      </c>
      <c r="I611" s="17">
        <v>58.84</v>
      </c>
      <c r="J611" s="17">
        <v>20.91</v>
      </c>
      <c r="K611" s="17">
        <v>442.78</v>
      </c>
      <c r="L611" s="12"/>
    </row>
    <row r="612" spans="1:12" ht="16" x14ac:dyDescent="0.2">
      <c r="A612" s="7"/>
      <c r="B612" s="7"/>
      <c r="G612" s="15">
        <v>45423</v>
      </c>
      <c r="H612" s="16">
        <v>0.95833333333333337</v>
      </c>
      <c r="I612" s="17">
        <v>59.48</v>
      </c>
      <c r="J612" s="17">
        <v>20.34</v>
      </c>
      <c r="K612" s="17">
        <v>445.75</v>
      </c>
      <c r="L612" s="12"/>
    </row>
    <row r="613" spans="1:12" ht="16" x14ac:dyDescent="0.2">
      <c r="A613" s="7"/>
      <c r="B613" s="7"/>
      <c r="G613" s="15">
        <v>45424</v>
      </c>
      <c r="H613" s="16">
        <v>0</v>
      </c>
      <c r="I613" s="17">
        <v>60.35</v>
      </c>
      <c r="J613" s="17">
        <v>19.78</v>
      </c>
      <c r="K613" s="17">
        <v>448.28</v>
      </c>
      <c r="L613" s="12"/>
    </row>
    <row r="614" spans="1:12" ht="16" x14ac:dyDescent="0.2">
      <c r="A614" s="7"/>
      <c r="B614" s="7"/>
      <c r="G614" s="15">
        <v>45424</v>
      </c>
      <c r="H614" s="16">
        <v>4.1666666666666664E-2</v>
      </c>
      <c r="I614" s="17">
        <v>61.06</v>
      </c>
      <c r="J614" s="17">
        <v>19.45</v>
      </c>
      <c r="K614" s="17">
        <v>452.68</v>
      </c>
      <c r="L614" s="12"/>
    </row>
    <row r="615" spans="1:12" ht="16" x14ac:dyDescent="0.2">
      <c r="A615" s="7"/>
      <c r="B615" s="7"/>
      <c r="G615" s="15">
        <v>45424</v>
      </c>
      <c r="H615" s="16">
        <v>8.3333333333333329E-2</v>
      </c>
      <c r="I615" s="17">
        <v>62.09</v>
      </c>
      <c r="J615" s="17">
        <v>18.88</v>
      </c>
      <c r="K615" s="17">
        <v>454</v>
      </c>
      <c r="L615" s="12"/>
    </row>
    <row r="616" spans="1:12" ht="16" x14ac:dyDescent="0.2">
      <c r="A616" s="7"/>
      <c r="B616" s="7"/>
      <c r="G616" s="15">
        <v>45424</v>
      </c>
      <c r="H616" s="16">
        <v>0.125</v>
      </c>
      <c r="I616" s="17">
        <v>62.22</v>
      </c>
      <c r="J616" s="17">
        <v>18.579999999999998</v>
      </c>
      <c r="K616" s="17">
        <v>463.09</v>
      </c>
      <c r="L616" s="12"/>
    </row>
    <row r="617" spans="1:12" ht="16" x14ac:dyDescent="0.2">
      <c r="A617" s="7"/>
      <c r="B617" s="7"/>
      <c r="G617" s="15">
        <v>45424</v>
      </c>
      <c r="H617" s="16">
        <v>0.16666666666666666</v>
      </c>
      <c r="I617" s="17">
        <v>62.78</v>
      </c>
      <c r="J617" s="17">
        <v>17.97</v>
      </c>
      <c r="K617" s="17">
        <v>469.79</v>
      </c>
      <c r="L617" s="12"/>
    </row>
    <row r="618" spans="1:12" ht="16" x14ac:dyDescent="0.2">
      <c r="A618" s="7"/>
      <c r="B618" s="7"/>
      <c r="G618" s="15">
        <v>45424</v>
      </c>
      <c r="H618" s="16">
        <v>0.20833333333333334</v>
      </c>
      <c r="I618" s="17">
        <v>63.19</v>
      </c>
      <c r="J618" s="17">
        <v>17.48</v>
      </c>
      <c r="K618" s="17">
        <v>479.88</v>
      </c>
      <c r="L618" s="12"/>
    </row>
    <row r="619" spans="1:12" ht="16" x14ac:dyDescent="0.2">
      <c r="A619" s="7"/>
      <c r="B619" s="7"/>
      <c r="G619" s="15">
        <v>45424</v>
      </c>
      <c r="H619" s="16">
        <v>0.25</v>
      </c>
      <c r="I619" s="17">
        <v>63.52</v>
      </c>
      <c r="J619" s="17">
        <v>17.91</v>
      </c>
      <c r="K619" s="17">
        <v>486.82</v>
      </c>
      <c r="L619" s="12"/>
    </row>
    <row r="620" spans="1:12" ht="16" x14ac:dyDescent="0.2">
      <c r="A620" s="7"/>
      <c r="B620" s="7"/>
      <c r="G620" s="15">
        <v>45424</v>
      </c>
      <c r="H620" s="16">
        <v>0.29166666666666669</v>
      </c>
      <c r="I620" s="17">
        <v>62.64</v>
      </c>
      <c r="J620" s="17">
        <v>22.43</v>
      </c>
      <c r="K620" s="17">
        <v>481.25</v>
      </c>
      <c r="L620" s="12"/>
    </row>
    <row r="621" spans="1:12" ht="16" x14ac:dyDescent="0.2">
      <c r="A621" s="7"/>
      <c r="B621" s="7"/>
      <c r="G621" s="15">
        <v>45424</v>
      </c>
      <c r="H621" s="16">
        <v>0.33333333333333331</v>
      </c>
      <c r="I621" s="17">
        <v>60.87</v>
      </c>
      <c r="J621" s="17">
        <v>23.77</v>
      </c>
      <c r="K621" s="17">
        <v>461.76</v>
      </c>
      <c r="L621" s="12"/>
    </row>
    <row r="622" spans="1:12" ht="16" x14ac:dyDescent="0.2">
      <c r="A622" s="7"/>
      <c r="B622" s="7"/>
      <c r="G622" s="15">
        <v>45424</v>
      </c>
      <c r="H622" s="16">
        <v>0.375</v>
      </c>
      <c r="I622" s="17">
        <v>60.18</v>
      </c>
      <c r="J622" s="17">
        <v>22.61</v>
      </c>
      <c r="K622" s="17">
        <v>447.41</v>
      </c>
      <c r="L622" s="12"/>
    </row>
    <row r="623" spans="1:12" ht="16" x14ac:dyDescent="0.2">
      <c r="A623" s="7"/>
      <c r="B623" s="7"/>
      <c r="G623" s="15">
        <v>45424</v>
      </c>
      <c r="H623" s="16">
        <v>0.41666666666666669</v>
      </c>
      <c r="I623" s="17">
        <v>58</v>
      </c>
      <c r="J623" s="17">
        <v>23.38</v>
      </c>
      <c r="K623" s="17">
        <v>443.59</v>
      </c>
      <c r="L623" s="12"/>
    </row>
    <row r="624" spans="1:12" ht="16" x14ac:dyDescent="0.2">
      <c r="A624" s="7"/>
      <c r="B624" s="7"/>
      <c r="G624" s="15">
        <v>45424</v>
      </c>
      <c r="H624" s="16">
        <v>0.45833333333333331</v>
      </c>
      <c r="I624" s="17">
        <v>56.35</v>
      </c>
      <c r="J624" s="17">
        <v>23.89</v>
      </c>
      <c r="K624" s="17">
        <v>441.45</v>
      </c>
      <c r="L624" s="12"/>
    </row>
    <row r="625" spans="1:12" ht="16" x14ac:dyDescent="0.2">
      <c r="A625" s="7"/>
      <c r="B625" s="7"/>
      <c r="G625" s="15">
        <v>45424</v>
      </c>
      <c r="H625" s="16">
        <v>0.5</v>
      </c>
      <c r="I625" s="17">
        <v>54.93</v>
      </c>
      <c r="J625" s="17">
        <v>24.43</v>
      </c>
      <c r="K625" s="17">
        <v>435.9</v>
      </c>
      <c r="L625" s="12"/>
    </row>
    <row r="626" spans="1:12" ht="16" x14ac:dyDescent="0.2">
      <c r="A626" s="7"/>
      <c r="B626" s="7"/>
      <c r="G626" s="15">
        <v>45424</v>
      </c>
      <c r="H626" s="16">
        <v>0.54166666666666663</v>
      </c>
      <c r="I626" s="17">
        <v>54.75</v>
      </c>
      <c r="J626" s="17">
        <v>24.38</v>
      </c>
      <c r="K626" s="17">
        <v>430.04</v>
      </c>
      <c r="L626" s="12"/>
    </row>
    <row r="627" spans="1:12" ht="16" x14ac:dyDescent="0.2">
      <c r="A627" s="7"/>
      <c r="B627" s="7"/>
      <c r="G627" s="15">
        <v>45424</v>
      </c>
      <c r="H627" s="16">
        <v>0.58333333333333337</v>
      </c>
      <c r="I627" s="17">
        <v>54.47</v>
      </c>
      <c r="J627" s="17">
        <v>24.42</v>
      </c>
      <c r="K627" s="17">
        <v>427.85</v>
      </c>
      <c r="L627" s="12"/>
    </row>
    <row r="628" spans="1:12" ht="16" x14ac:dyDescent="0.2">
      <c r="A628" s="7"/>
      <c r="B628" s="7"/>
      <c r="G628" s="15">
        <v>45424</v>
      </c>
      <c r="H628" s="16">
        <v>0.625</v>
      </c>
      <c r="I628" s="17">
        <v>54.9</v>
      </c>
      <c r="J628" s="17">
        <v>25.23</v>
      </c>
      <c r="K628" s="17">
        <v>421.76</v>
      </c>
      <c r="L628" s="12"/>
    </row>
    <row r="629" spans="1:12" ht="16" x14ac:dyDescent="0.2">
      <c r="A629" s="7"/>
      <c r="B629" s="7"/>
      <c r="G629" s="15">
        <v>45424</v>
      </c>
      <c r="H629" s="16">
        <v>0.66666666666666663</v>
      </c>
      <c r="I629" s="17">
        <v>55.45</v>
      </c>
      <c r="J629" s="17">
        <v>24.77</v>
      </c>
      <c r="K629" s="17">
        <v>420.64</v>
      </c>
      <c r="L629" s="12"/>
    </row>
    <row r="630" spans="1:12" ht="16" x14ac:dyDescent="0.2">
      <c r="A630" s="7"/>
      <c r="B630" s="7"/>
      <c r="G630" s="15">
        <v>45424</v>
      </c>
      <c r="H630" s="16">
        <v>0.70833333333333337</v>
      </c>
      <c r="I630" s="17">
        <v>56.16</v>
      </c>
      <c r="J630" s="17">
        <v>22.21</v>
      </c>
      <c r="K630" s="17">
        <v>418.97</v>
      </c>
      <c r="L630" s="12"/>
    </row>
    <row r="631" spans="1:12" ht="16" x14ac:dyDescent="0.2">
      <c r="A631" s="7"/>
      <c r="B631" s="7"/>
      <c r="G631" s="15">
        <v>45424</v>
      </c>
      <c r="H631" s="16">
        <v>0.75</v>
      </c>
      <c r="I631" s="17">
        <v>58.06</v>
      </c>
      <c r="J631" s="17">
        <v>19.29</v>
      </c>
      <c r="K631" s="17">
        <v>428.95</v>
      </c>
      <c r="L631" s="12"/>
    </row>
    <row r="632" spans="1:12" ht="16" x14ac:dyDescent="0.2">
      <c r="A632" s="7"/>
      <c r="B632" s="7"/>
      <c r="G632" s="15">
        <v>45424</v>
      </c>
      <c r="H632" s="16">
        <v>0.79166666666666663</v>
      </c>
      <c r="I632" s="17">
        <v>59.15</v>
      </c>
      <c r="J632" s="17">
        <v>18.91</v>
      </c>
      <c r="K632" s="17">
        <v>434.11</v>
      </c>
      <c r="L632" s="12"/>
    </row>
    <row r="633" spans="1:12" ht="16" x14ac:dyDescent="0.2">
      <c r="A633" s="7"/>
      <c r="B633" s="7"/>
      <c r="G633" s="15">
        <v>45424</v>
      </c>
      <c r="H633" s="16">
        <v>0.83333333333333337</v>
      </c>
      <c r="I633" s="17">
        <v>59.77</v>
      </c>
      <c r="J633" s="17">
        <v>21.51</v>
      </c>
      <c r="K633" s="17">
        <v>436.71</v>
      </c>
      <c r="L633" s="12"/>
    </row>
    <row r="634" spans="1:12" ht="16" x14ac:dyDescent="0.2">
      <c r="A634" s="7"/>
      <c r="B634" s="7"/>
      <c r="G634" s="15">
        <v>45424</v>
      </c>
      <c r="H634" s="16">
        <v>0.875</v>
      </c>
      <c r="I634" s="17">
        <v>60.45</v>
      </c>
      <c r="J634" s="17">
        <v>21.12</v>
      </c>
      <c r="K634" s="17">
        <v>442.74</v>
      </c>
      <c r="L634" s="12"/>
    </row>
    <row r="635" spans="1:12" ht="16" x14ac:dyDescent="0.2">
      <c r="A635" s="7"/>
      <c r="B635" s="7"/>
      <c r="G635" s="15">
        <v>45424</v>
      </c>
      <c r="H635" s="16">
        <v>0.91666666666666663</v>
      </c>
      <c r="I635" s="17">
        <v>61.15</v>
      </c>
      <c r="J635" s="17">
        <v>20.41</v>
      </c>
      <c r="K635" s="17">
        <v>447.43</v>
      </c>
      <c r="L635" s="12"/>
    </row>
    <row r="636" spans="1:12" ht="16" x14ac:dyDescent="0.2">
      <c r="A636" s="7"/>
      <c r="B636" s="7"/>
      <c r="G636" s="15">
        <v>45424</v>
      </c>
      <c r="H636" s="16">
        <v>0.95833333333333337</v>
      </c>
      <c r="I636" s="17">
        <v>61.86</v>
      </c>
      <c r="J636" s="17">
        <v>19.77</v>
      </c>
      <c r="K636" s="17">
        <v>452.73</v>
      </c>
      <c r="L636" s="12"/>
    </row>
    <row r="637" spans="1:12" ht="16" x14ac:dyDescent="0.2">
      <c r="A637" s="7"/>
      <c r="B637" s="7"/>
      <c r="G637" s="15">
        <v>45425</v>
      </c>
      <c r="H637" s="16">
        <v>0</v>
      </c>
      <c r="I637" s="17">
        <v>62.59</v>
      </c>
      <c r="J637" s="17">
        <v>19.12</v>
      </c>
      <c r="K637" s="17">
        <v>455.69</v>
      </c>
      <c r="L637" s="12"/>
    </row>
    <row r="638" spans="1:12" ht="16" x14ac:dyDescent="0.2">
      <c r="A638" s="7"/>
      <c r="B638" s="7"/>
      <c r="G638" s="15">
        <v>45425</v>
      </c>
      <c r="H638" s="16">
        <v>4.1666666666666664E-2</v>
      </c>
      <c r="I638" s="17">
        <v>63.34</v>
      </c>
      <c r="J638" s="17">
        <v>18.559999999999999</v>
      </c>
      <c r="K638" s="17">
        <v>456.75</v>
      </c>
      <c r="L638" s="12"/>
    </row>
    <row r="639" spans="1:12" ht="16" x14ac:dyDescent="0.2">
      <c r="A639" s="7"/>
      <c r="B639" s="7"/>
      <c r="G639" s="15">
        <v>45425</v>
      </c>
      <c r="H639" s="16">
        <v>8.3333333333333329E-2</v>
      </c>
      <c r="I639" s="17">
        <v>64.03</v>
      </c>
      <c r="J639" s="17">
        <v>18.32</v>
      </c>
      <c r="K639" s="17">
        <v>459.43</v>
      </c>
      <c r="L639" s="12"/>
    </row>
    <row r="640" spans="1:12" ht="16" x14ac:dyDescent="0.2">
      <c r="A640" s="7"/>
      <c r="B640" s="7"/>
      <c r="G640" s="15">
        <v>45425</v>
      </c>
      <c r="H640" s="16">
        <v>0.125</v>
      </c>
      <c r="I640" s="17">
        <v>64.42</v>
      </c>
      <c r="J640" s="17">
        <v>18.010000000000002</v>
      </c>
      <c r="K640" s="17">
        <v>463.1</v>
      </c>
      <c r="L640" s="12"/>
    </row>
    <row r="641" spans="1:12" ht="16" x14ac:dyDescent="0.2">
      <c r="A641" s="7"/>
      <c r="B641" s="7"/>
      <c r="G641" s="15">
        <v>45425</v>
      </c>
      <c r="H641" s="16">
        <v>0.16666666666666666</v>
      </c>
      <c r="I641" s="17">
        <v>65.11</v>
      </c>
      <c r="J641" s="17">
        <v>17.260000000000002</v>
      </c>
      <c r="K641" s="17">
        <v>466</v>
      </c>
      <c r="L641" s="12"/>
    </row>
    <row r="642" spans="1:12" ht="16" x14ac:dyDescent="0.2">
      <c r="A642" s="7"/>
      <c r="B642" s="7"/>
      <c r="G642" s="15">
        <v>45425</v>
      </c>
      <c r="H642" s="16">
        <v>0.20833333333333334</v>
      </c>
      <c r="I642" s="17">
        <v>65.28</v>
      </c>
      <c r="J642" s="17">
        <v>16.809999999999999</v>
      </c>
      <c r="K642" s="17">
        <v>471.9</v>
      </c>
      <c r="L642" s="12"/>
    </row>
    <row r="643" spans="1:12" ht="16" x14ac:dyDescent="0.2">
      <c r="A643" s="7"/>
      <c r="B643" s="7"/>
      <c r="G643" s="15">
        <v>45425</v>
      </c>
      <c r="H643" s="16">
        <v>0.25</v>
      </c>
      <c r="I643" s="17">
        <v>65.19</v>
      </c>
      <c r="J643" s="17">
        <v>17.36</v>
      </c>
      <c r="K643" s="17">
        <v>479.61</v>
      </c>
      <c r="L643" s="12"/>
    </row>
    <row r="644" spans="1:12" ht="16" x14ac:dyDescent="0.2">
      <c r="A644" s="7"/>
      <c r="B644" s="7"/>
      <c r="G644" s="15">
        <v>45425</v>
      </c>
      <c r="H644" s="16">
        <v>0.29166666666666669</v>
      </c>
      <c r="I644" s="17">
        <v>64.5</v>
      </c>
      <c r="J644" s="17">
        <v>21.49</v>
      </c>
      <c r="K644" s="17">
        <v>479.88</v>
      </c>
      <c r="L644" s="12"/>
    </row>
    <row r="645" spans="1:12" ht="16" x14ac:dyDescent="0.2">
      <c r="A645" s="7"/>
      <c r="B645" s="7"/>
      <c r="G645" s="15">
        <v>45425</v>
      </c>
      <c r="H645" s="16">
        <v>0.33333333333333331</v>
      </c>
      <c r="I645" s="17">
        <v>63.17</v>
      </c>
      <c r="J645" s="17">
        <v>21.73</v>
      </c>
      <c r="K645" s="17">
        <v>464.68</v>
      </c>
      <c r="L645" s="12"/>
    </row>
    <row r="646" spans="1:12" ht="16" x14ac:dyDescent="0.2">
      <c r="A646" s="7"/>
      <c r="B646" s="7"/>
      <c r="G646" s="15">
        <v>45425</v>
      </c>
      <c r="H646" s="16">
        <v>0.375</v>
      </c>
      <c r="I646" s="17">
        <v>62.38</v>
      </c>
      <c r="J646" s="17">
        <v>22.5</v>
      </c>
      <c r="K646" s="17">
        <v>452.24</v>
      </c>
      <c r="L646" s="12"/>
    </row>
    <row r="647" spans="1:12" ht="16" x14ac:dyDescent="0.2">
      <c r="A647" s="7"/>
      <c r="B647" s="7"/>
      <c r="G647" s="15">
        <v>45425</v>
      </c>
      <c r="H647" s="16">
        <v>0.41666666666666669</v>
      </c>
      <c r="I647" s="17">
        <v>59.41</v>
      </c>
      <c r="J647" s="17">
        <v>24.96</v>
      </c>
      <c r="K647" s="17">
        <v>444.19</v>
      </c>
      <c r="L647" s="12"/>
    </row>
    <row r="648" spans="1:12" ht="16" x14ac:dyDescent="0.2">
      <c r="A648" s="7"/>
      <c r="B648" s="7"/>
      <c r="G648" s="15">
        <v>45425</v>
      </c>
      <c r="H648" s="16">
        <v>0.45833333333333331</v>
      </c>
      <c r="I648" s="17">
        <v>56.77</v>
      </c>
      <c r="J648" s="17">
        <v>25.13</v>
      </c>
      <c r="K648" s="17">
        <v>437.86</v>
      </c>
      <c r="L648" s="12"/>
    </row>
    <row r="649" spans="1:12" ht="16" x14ac:dyDescent="0.2">
      <c r="A649" s="7"/>
      <c r="B649" s="7"/>
      <c r="G649" s="15">
        <v>45425</v>
      </c>
      <c r="H649" s="16">
        <v>0.5</v>
      </c>
      <c r="I649" s="17">
        <v>54.75</v>
      </c>
      <c r="J649" s="17">
        <v>25.44</v>
      </c>
      <c r="K649" s="17">
        <v>434.23</v>
      </c>
      <c r="L649" s="12"/>
    </row>
    <row r="650" spans="1:12" ht="16" x14ac:dyDescent="0.2">
      <c r="A650" s="7"/>
      <c r="B650" s="7"/>
      <c r="G650" s="15">
        <v>45425</v>
      </c>
      <c r="H650" s="16">
        <v>0.54166666666666663</v>
      </c>
      <c r="I650" s="17">
        <v>53.92</v>
      </c>
      <c r="J650" s="17">
        <v>25.62</v>
      </c>
      <c r="K650" s="17">
        <v>427.09</v>
      </c>
      <c r="L650" s="12"/>
    </row>
    <row r="651" spans="1:12" ht="16" x14ac:dyDescent="0.2">
      <c r="A651" s="7"/>
      <c r="B651" s="7"/>
      <c r="G651" s="15">
        <v>45425</v>
      </c>
      <c r="H651" s="16">
        <v>0.58333333333333337</v>
      </c>
      <c r="I651" s="17">
        <v>53.16</v>
      </c>
      <c r="J651" s="17">
        <v>27.16</v>
      </c>
      <c r="K651" s="17">
        <v>424.08</v>
      </c>
      <c r="L651" s="12"/>
    </row>
    <row r="652" spans="1:12" ht="16" x14ac:dyDescent="0.2">
      <c r="A652" s="7"/>
      <c r="B652" s="7"/>
      <c r="G652" s="15">
        <v>45425</v>
      </c>
      <c r="H652" s="16">
        <v>0.625</v>
      </c>
      <c r="I652" s="17">
        <v>53.59</v>
      </c>
      <c r="J652" s="17">
        <v>27.1</v>
      </c>
      <c r="K652" s="17">
        <v>417.75</v>
      </c>
      <c r="L652" s="17"/>
    </row>
    <row r="653" spans="1:12" ht="16" x14ac:dyDescent="0.2">
      <c r="A653" s="7"/>
      <c r="B653" s="7"/>
      <c r="G653" s="15">
        <v>45425</v>
      </c>
      <c r="H653" s="16">
        <v>0.66666666666666663</v>
      </c>
      <c r="I653" s="17">
        <v>53.74</v>
      </c>
      <c r="J653" s="17">
        <v>27.47</v>
      </c>
      <c r="K653" s="17">
        <v>416.69</v>
      </c>
      <c r="L653" s="17"/>
    </row>
    <row r="654" spans="1:12" ht="16" x14ac:dyDescent="0.2">
      <c r="A654" s="7"/>
      <c r="B654" s="7"/>
      <c r="G654" s="15">
        <v>45425</v>
      </c>
      <c r="H654" s="16">
        <v>0.70833333333333337</v>
      </c>
      <c r="I654" s="17">
        <v>53.73</v>
      </c>
      <c r="J654" s="17">
        <v>27.61</v>
      </c>
      <c r="K654" s="17">
        <v>416.87</v>
      </c>
      <c r="L654" s="17"/>
    </row>
    <row r="655" spans="1:12" ht="16" x14ac:dyDescent="0.2">
      <c r="A655" s="7"/>
      <c r="B655" s="7"/>
      <c r="G655" s="15">
        <v>45425</v>
      </c>
      <c r="H655" s="16">
        <v>0.75</v>
      </c>
      <c r="I655" s="17">
        <v>54.75</v>
      </c>
      <c r="J655" s="17">
        <v>25.9</v>
      </c>
      <c r="K655" s="17">
        <v>420.52</v>
      </c>
      <c r="L655" s="17"/>
    </row>
    <row r="656" spans="1:12" ht="16" x14ac:dyDescent="0.2">
      <c r="A656" s="7"/>
      <c r="B656" s="7"/>
      <c r="G656" s="15">
        <v>45425</v>
      </c>
      <c r="H656" s="16">
        <v>0.79166666666666663</v>
      </c>
      <c r="I656" s="17">
        <v>56.71</v>
      </c>
      <c r="J656" s="17">
        <v>22.89</v>
      </c>
      <c r="K656" s="17">
        <v>426.6</v>
      </c>
      <c r="L656" s="17"/>
    </row>
    <row r="657" spans="1:12" ht="16" x14ac:dyDescent="0.2">
      <c r="A657" s="7"/>
      <c r="B657" s="7"/>
      <c r="G657" s="15">
        <v>45425</v>
      </c>
      <c r="H657" s="16">
        <v>0.83333333333333337</v>
      </c>
      <c r="I657" s="17">
        <v>57.4</v>
      </c>
      <c r="J657" s="17">
        <v>20.94</v>
      </c>
      <c r="K657" s="17">
        <v>437.53</v>
      </c>
      <c r="L657" s="17"/>
    </row>
    <row r="658" spans="1:12" ht="16" x14ac:dyDescent="0.2">
      <c r="A658" s="7"/>
      <c r="B658" s="7"/>
      <c r="G658" s="15">
        <v>45425</v>
      </c>
      <c r="H658" s="16">
        <v>0.875</v>
      </c>
      <c r="I658" s="17">
        <v>58.14</v>
      </c>
      <c r="J658" s="17">
        <v>20.38</v>
      </c>
      <c r="K658" s="17">
        <v>446.55</v>
      </c>
      <c r="L658" s="17"/>
    </row>
    <row r="659" spans="1:12" ht="16" x14ac:dyDescent="0.2">
      <c r="A659" s="7"/>
      <c r="B659" s="7"/>
      <c r="G659" s="15">
        <v>45425</v>
      </c>
      <c r="H659" s="16">
        <v>0.91666666666666663</v>
      </c>
      <c r="I659" s="17">
        <v>59.28</v>
      </c>
      <c r="J659" s="17">
        <v>19.97</v>
      </c>
      <c r="K659" s="17">
        <v>447.17</v>
      </c>
      <c r="L659" s="17"/>
    </row>
    <row r="660" spans="1:12" ht="16" x14ac:dyDescent="0.2">
      <c r="A660" s="7"/>
      <c r="B660" s="7"/>
      <c r="G660" s="15">
        <v>45425</v>
      </c>
      <c r="H660" s="16">
        <v>0.95833333333333337</v>
      </c>
      <c r="I660" s="17">
        <v>60.16</v>
      </c>
      <c r="J660" s="17">
        <v>19.53</v>
      </c>
      <c r="K660" s="17">
        <v>449.96</v>
      </c>
      <c r="L660" s="17"/>
    </row>
    <row r="661" spans="1:12" ht="16" x14ac:dyDescent="0.2">
      <c r="A661" s="7"/>
      <c r="B661" s="7"/>
      <c r="G661" s="15">
        <v>45426</v>
      </c>
      <c r="H661" s="16">
        <v>0</v>
      </c>
      <c r="I661" s="17">
        <v>61.18</v>
      </c>
      <c r="J661" s="17">
        <v>19.100000000000001</v>
      </c>
      <c r="K661" s="17">
        <v>451.64</v>
      </c>
      <c r="L661" s="17"/>
    </row>
    <row r="662" spans="1:12" ht="16" x14ac:dyDescent="0.2">
      <c r="A662" s="7"/>
      <c r="B662" s="7"/>
      <c r="G662" s="15">
        <v>45426</v>
      </c>
      <c r="H662" s="16">
        <v>4.1666666666666664E-2</v>
      </c>
      <c r="I662" s="17">
        <v>62.05</v>
      </c>
      <c r="J662" s="17">
        <v>18.73</v>
      </c>
      <c r="K662" s="17">
        <v>453.58</v>
      </c>
      <c r="L662" s="17"/>
    </row>
    <row r="663" spans="1:12" ht="16" x14ac:dyDescent="0.2">
      <c r="A663" s="7"/>
      <c r="B663" s="7"/>
      <c r="G663" s="15">
        <v>45426</v>
      </c>
      <c r="H663" s="16">
        <v>8.3333333333333329E-2</v>
      </c>
      <c r="I663" s="17">
        <v>62.74</v>
      </c>
      <c r="J663" s="17">
        <v>18.27</v>
      </c>
      <c r="K663" s="17">
        <v>459.48</v>
      </c>
      <c r="L663" s="17"/>
    </row>
    <row r="664" spans="1:12" ht="16" x14ac:dyDescent="0.2">
      <c r="A664" s="7"/>
      <c r="B664" s="7"/>
      <c r="G664" s="15">
        <v>45426</v>
      </c>
      <c r="H664" s="16">
        <v>0.125</v>
      </c>
      <c r="I664" s="17">
        <v>63.48</v>
      </c>
      <c r="J664" s="17">
        <v>17.5</v>
      </c>
      <c r="K664" s="17">
        <v>461.48</v>
      </c>
      <c r="L664" s="17"/>
    </row>
    <row r="665" spans="1:12" ht="16" x14ac:dyDescent="0.2">
      <c r="A665" s="7"/>
      <c r="B665" s="7"/>
      <c r="G665" s="15">
        <v>45426</v>
      </c>
      <c r="H665" s="16">
        <v>0.16666666666666666</v>
      </c>
      <c r="I665" s="17">
        <v>64.510000000000005</v>
      </c>
      <c r="J665" s="17">
        <v>16.97</v>
      </c>
      <c r="K665" s="17">
        <v>470.13</v>
      </c>
      <c r="L665" s="17"/>
    </row>
    <row r="666" spans="1:12" ht="16" x14ac:dyDescent="0.2">
      <c r="A666" s="7"/>
      <c r="B666" s="7"/>
      <c r="G666" s="15">
        <v>45426</v>
      </c>
      <c r="H666" s="16">
        <v>0.20833333333333334</v>
      </c>
      <c r="I666" s="17">
        <v>65.040000000000006</v>
      </c>
      <c r="J666" s="17">
        <v>16.62</v>
      </c>
      <c r="K666" s="17">
        <v>486.46</v>
      </c>
      <c r="L666" s="17"/>
    </row>
    <row r="667" spans="1:12" ht="16" x14ac:dyDescent="0.2">
      <c r="A667" s="7"/>
      <c r="B667" s="7"/>
      <c r="G667" s="15">
        <v>45426</v>
      </c>
      <c r="H667" s="16">
        <v>0.25</v>
      </c>
      <c r="I667" s="17">
        <v>65.150000000000006</v>
      </c>
      <c r="J667" s="17">
        <v>17.64</v>
      </c>
      <c r="K667" s="17">
        <v>495.12</v>
      </c>
      <c r="L667" s="17"/>
    </row>
    <row r="668" spans="1:12" ht="16" x14ac:dyDescent="0.2">
      <c r="A668" s="7"/>
      <c r="B668" s="7"/>
      <c r="G668" s="15">
        <v>45426</v>
      </c>
      <c r="H668" s="16">
        <v>0.29166666666666669</v>
      </c>
      <c r="I668" s="17">
        <v>63.77</v>
      </c>
      <c r="J668" s="17">
        <v>22.36</v>
      </c>
      <c r="K668" s="17">
        <v>489.66</v>
      </c>
      <c r="L668" s="17"/>
    </row>
    <row r="669" spans="1:12" ht="16" x14ac:dyDescent="0.2">
      <c r="A669" s="7"/>
      <c r="B669" s="7"/>
      <c r="G669" s="15">
        <v>45426</v>
      </c>
      <c r="H669" s="16">
        <v>0.33333333333333331</v>
      </c>
      <c r="I669" s="17">
        <v>62.1</v>
      </c>
      <c r="J669" s="17">
        <v>23.57</v>
      </c>
      <c r="K669" s="17">
        <v>466.33</v>
      </c>
      <c r="L669" s="17"/>
    </row>
    <row r="670" spans="1:12" ht="16" x14ac:dyDescent="0.2">
      <c r="A670" s="7"/>
      <c r="B670" s="7"/>
      <c r="G670" s="15">
        <v>45426</v>
      </c>
      <c r="H670" s="16">
        <v>0.375</v>
      </c>
      <c r="I670" s="17">
        <v>61.66</v>
      </c>
      <c r="J670" s="17">
        <v>20.79</v>
      </c>
      <c r="K670" s="17">
        <v>451.38</v>
      </c>
      <c r="L670" s="17"/>
    </row>
    <row r="671" spans="1:12" ht="16" x14ac:dyDescent="0.2">
      <c r="A671" s="7"/>
      <c r="B671" s="7"/>
      <c r="G671" s="15">
        <v>45426</v>
      </c>
      <c r="H671" s="16">
        <v>0.41666666666666669</v>
      </c>
      <c r="I671" s="17">
        <v>59.2</v>
      </c>
      <c r="J671" s="17">
        <v>26.76</v>
      </c>
      <c r="K671" s="17">
        <v>444.07</v>
      </c>
      <c r="L671" s="17"/>
    </row>
    <row r="672" spans="1:12" ht="16" x14ac:dyDescent="0.2">
      <c r="A672" s="7"/>
      <c r="B672" s="7"/>
      <c r="G672" s="15">
        <v>45426</v>
      </c>
      <c r="H672" s="16">
        <v>0.45833333333333331</v>
      </c>
      <c r="I672" s="17">
        <v>56.36</v>
      </c>
      <c r="J672" s="17">
        <v>27.08</v>
      </c>
      <c r="K672" s="17">
        <v>437.25</v>
      </c>
      <c r="L672" s="17"/>
    </row>
    <row r="673" spans="1:12" ht="16" x14ac:dyDescent="0.2">
      <c r="A673" s="7"/>
      <c r="B673" s="7"/>
      <c r="G673" s="15">
        <v>45426</v>
      </c>
      <c r="H673" s="16">
        <v>0.5</v>
      </c>
      <c r="I673" s="17">
        <v>54.75</v>
      </c>
      <c r="J673" s="17">
        <v>27.15</v>
      </c>
      <c r="K673" s="17">
        <v>429.39</v>
      </c>
      <c r="L673" s="17"/>
    </row>
    <row r="674" spans="1:12" ht="16" x14ac:dyDescent="0.2">
      <c r="A674" s="7"/>
      <c r="B674" s="7"/>
      <c r="G674" s="15">
        <v>45426</v>
      </c>
      <c r="H674" s="16">
        <v>0.54166666666666663</v>
      </c>
      <c r="I674" s="17">
        <v>54.85</v>
      </c>
      <c r="J674" s="17">
        <v>25.77</v>
      </c>
      <c r="K674" s="17">
        <v>423.45</v>
      </c>
      <c r="L674" s="17"/>
    </row>
    <row r="675" spans="1:12" ht="16" x14ac:dyDescent="0.2">
      <c r="A675" s="7"/>
      <c r="B675" s="7"/>
      <c r="G675" s="15">
        <v>45426</v>
      </c>
      <c r="H675" s="16">
        <v>0.58333333333333337</v>
      </c>
      <c r="I675" s="17">
        <v>54.24</v>
      </c>
      <c r="J675" s="17">
        <v>27.05</v>
      </c>
      <c r="K675" s="17">
        <v>421.08</v>
      </c>
      <c r="L675" s="17"/>
    </row>
    <row r="676" spans="1:12" ht="16" x14ac:dyDescent="0.2">
      <c r="A676" s="7"/>
      <c r="B676" s="7"/>
      <c r="G676" s="15">
        <v>45426</v>
      </c>
      <c r="H676" s="16">
        <v>0.625</v>
      </c>
      <c r="I676" s="17">
        <v>54.67</v>
      </c>
      <c r="J676" s="17">
        <v>26.88</v>
      </c>
      <c r="K676" s="17">
        <v>418.01</v>
      </c>
      <c r="L676" s="12"/>
    </row>
    <row r="677" spans="1:12" ht="16" x14ac:dyDescent="0.2">
      <c r="A677" s="7"/>
      <c r="B677" s="7"/>
      <c r="G677" s="15">
        <v>45426</v>
      </c>
      <c r="H677" s="16">
        <v>0.66666666666666663</v>
      </c>
      <c r="I677" s="17">
        <v>54.83</v>
      </c>
      <c r="J677" s="17">
        <v>26.93</v>
      </c>
      <c r="K677" s="17">
        <v>415.51</v>
      </c>
      <c r="L677" s="12"/>
    </row>
    <row r="678" spans="1:12" ht="16" x14ac:dyDescent="0.2">
      <c r="A678" s="7"/>
      <c r="B678" s="7"/>
      <c r="G678" s="15">
        <v>45426</v>
      </c>
      <c r="H678" s="16">
        <v>0.70833333333333337</v>
      </c>
      <c r="I678" s="17">
        <v>54.22</v>
      </c>
      <c r="J678" s="17">
        <v>27.83</v>
      </c>
      <c r="K678" s="17">
        <v>416.74</v>
      </c>
      <c r="L678" s="12"/>
    </row>
    <row r="679" spans="1:12" ht="16" x14ac:dyDescent="0.2">
      <c r="A679" s="7"/>
      <c r="B679" s="7"/>
      <c r="G679" s="15">
        <v>45426</v>
      </c>
      <c r="H679" s="16">
        <v>0.75</v>
      </c>
      <c r="I679" s="17">
        <v>54.9</v>
      </c>
      <c r="J679" s="17">
        <v>25.86</v>
      </c>
      <c r="K679" s="17">
        <v>417.57</v>
      </c>
      <c r="L679" s="12"/>
    </row>
    <row r="680" spans="1:12" ht="16" x14ac:dyDescent="0.2">
      <c r="A680" s="7"/>
      <c r="B680" s="7"/>
      <c r="G680" s="15">
        <v>45426</v>
      </c>
      <c r="H680" s="16">
        <v>0.79166666666666663</v>
      </c>
      <c r="I680" s="17">
        <v>56.07</v>
      </c>
      <c r="J680" s="17">
        <v>20.6</v>
      </c>
      <c r="K680" s="17">
        <v>422.79</v>
      </c>
      <c r="L680" s="12"/>
    </row>
    <row r="681" spans="1:12" ht="16" x14ac:dyDescent="0.2">
      <c r="A681" s="7"/>
      <c r="B681" s="7"/>
      <c r="G681" s="15">
        <v>45426</v>
      </c>
      <c r="H681" s="16">
        <v>0.83333333333333337</v>
      </c>
      <c r="I681" s="17">
        <v>54.68</v>
      </c>
      <c r="J681" s="17">
        <v>22.58</v>
      </c>
      <c r="K681" s="17">
        <v>425.76</v>
      </c>
      <c r="L681" s="12"/>
    </row>
    <row r="682" spans="1:12" ht="16" x14ac:dyDescent="0.2">
      <c r="A682" s="7"/>
      <c r="B682" s="7"/>
      <c r="G682" s="15">
        <v>45426</v>
      </c>
      <c r="H682" s="16">
        <v>0.875</v>
      </c>
      <c r="I682" s="17">
        <v>54.49</v>
      </c>
      <c r="J682" s="17">
        <v>21.93</v>
      </c>
      <c r="K682" s="17">
        <v>430</v>
      </c>
      <c r="L682" s="12"/>
    </row>
    <row r="683" spans="1:12" ht="16" x14ac:dyDescent="0.2">
      <c r="A683" s="7"/>
      <c r="B683" s="7"/>
      <c r="G683" s="15">
        <v>45426</v>
      </c>
      <c r="H683" s="16">
        <v>0.91666666666666663</v>
      </c>
      <c r="I683" s="17">
        <v>55.25</v>
      </c>
      <c r="J683" s="17">
        <v>20.96</v>
      </c>
      <c r="K683" s="17">
        <v>437.11</v>
      </c>
      <c r="L683" s="12"/>
    </row>
    <row r="684" spans="1:12" ht="16" x14ac:dyDescent="0.2">
      <c r="A684" s="7"/>
      <c r="B684" s="7"/>
      <c r="G684" s="15">
        <v>45426</v>
      </c>
      <c r="H684" s="16">
        <v>0.95833333333333337</v>
      </c>
      <c r="I684" s="17">
        <v>56.48</v>
      </c>
      <c r="J684" s="17">
        <v>20.010000000000002</v>
      </c>
      <c r="K684" s="17">
        <v>442.73</v>
      </c>
      <c r="L684" s="12"/>
    </row>
    <row r="685" spans="1:12" ht="16" x14ac:dyDescent="0.2">
      <c r="A685" s="7"/>
      <c r="B685" s="7"/>
      <c r="G685" s="15">
        <v>45427</v>
      </c>
      <c r="H685" s="16">
        <v>0</v>
      </c>
      <c r="I685" s="17">
        <v>57.79</v>
      </c>
      <c r="J685" s="17">
        <v>19.14</v>
      </c>
      <c r="K685" s="17">
        <v>447.3</v>
      </c>
      <c r="L685" s="12"/>
    </row>
    <row r="686" spans="1:12" ht="16" x14ac:dyDescent="0.2">
      <c r="A686" s="7"/>
      <c r="B686" s="7"/>
      <c r="G686" s="15">
        <v>45427</v>
      </c>
      <c r="H686" s="16">
        <v>4.1666666666666664E-2</v>
      </c>
      <c r="I686" s="17">
        <v>59.03</v>
      </c>
      <c r="J686" s="17">
        <v>18.32</v>
      </c>
      <c r="K686" s="17">
        <v>448.09</v>
      </c>
      <c r="L686" s="12"/>
    </row>
    <row r="687" spans="1:12" ht="16" x14ac:dyDescent="0.2">
      <c r="A687" s="7"/>
      <c r="B687" s="7"/>
      <c r="G687" s="15">
        <v>45427</v>
      </c>
      <c r="H687" s="16">
        <v>8.3333333333333329E-2</v>
      </c>
      <c r="I687" s="17">
        <v>60.29</v>
      </c>
      <c r="J687" s="17">
        <v>16.98</v>
      </c>
      <c r="K687" s="17">
        <v>457.54</v>
      </c>
      <c r="L687" s="12"/>
    </row>
    <row r="688" spans="1:12" ht="16" x14ac:dyDescent="0.2">
      <c r="A688" s="7"/>
      <c r="B688" s="7"/>
      <c r="G688" s="15">
        <v>45427</v>
      </c>
      <c r="H688" s="16">
        <v>0.125</v>
      </c>
      <c r="I688" s="17">
        <v>61.74</v>
      </c>
      <c r="J688" s="17">
        <v>15.97</v>
      </c>
      <c r="K688" s="17">
        <v>472.6</v>
      </c>
      <c r="L688" s="12"/>
    </row>
    <row r="689" spans="1:12" ht="16" x14ac:dyDescent="0.2">
      <c r="A689" s="7"/>
      <c r="B689" s="7"/>
      <c r="G689" s="15">
        <v>45427</v>
      </c>
      <c r="H689" s="16">
        <v>0.16666666666666666</v>
      </c>
      <c r="I689" s="17">
        <v>62.73</v>
      </c>
      <c r="J689" s="17">
        <v>15.13</v>
      </c>
      <c r="K689" s="17">
        <v>482.83</v>
      </c>
      <c r="L689" s="12"/>
    </row>
    <row r="690" spans="1:12" ht="16" x14ac:dyDescent="0.2">
      <c r="A690" s="7"/>
      <c r="B690" s="7"/>
      <c r="G690" s="15">
        <v>45427</v>
      </c>
      <c r="H690" s="16">
        <v>0.20833333333333334</v>
      </c>
      <c r="I690" s="17">
        <v>64.03</v>
      </c>
      <c r="J690" s="17">
        <v>14.62</v>
      </c>
      <c r="K690" s="17">
        <v>497.77</v>
      </c>
      <c r="L690" s="12"/>
    </row>
    <row r="691" spans="1:12" ht="16" x14ac:dyDescent="0.2">
      <c r="A691" s="7"/>
      <c r="B691" s="7"/>
      <c r="G691" s="15">
        <v>45427</v>
      </c>
      <c r="H691" s="16">
        <v>0.25</v>
      </c>
      <c r="I691" s="17">
        <v>63.71</v>
      </c>
      <c r="J691" s="17">
        <v>15.31</v>
      </c>
      <c r="K691" s="17">
        <v>519.36</v>
      </c>
      <c r="L691" s="12"/>
    </row>
    <row r="692" spans="1:12" ht="16" x14ac:dyDescent="0.2">
      <c r="A692" s="7"/>
      <c r="B692" s="7"/>
      <c r="G692" s="15">
        <v>45427</v>
      </c>
      <c r="H692" s="16">
        <v>0.29166666666666669</v>
      </c>
      <c r="I692" s="17">
        <v>62.03</v>
      </c>
      <c r="J692" s="17">
        <v>19.13</v>
      </c>
      <c r="K692" s="17">
        <v>502.68</v>
      </c>
      <c r="L692" s="12"/>
    </row>
    <row r="693" spans="1:12" ht="16" x14ac:dyDescent="0.2">
      <c r="A693" s="7"/>
      <c r="B693" s="7"/>
      <c r="G693" s="15">
        <v>45427</v>
      </c>
      <c r="H693" s="16">
        <v>0.33333333333333331</v>
      </c>
      <c r="I693" s="17">
        <v>60.91</v>
      </c>
      <c r="J693" s="17">
        <v>24</v>
      </c>
      <c r="K693" s="17">
        <v>470.97</v>
      </c>
      <c r="L693" s="12"/>
    </row>
    <row r="694" spans="1:12" ht="16" x14ac:dyDescent="0.2">
      <c r="A694" s="7"/>
      <c r="B694" s="7"/>
      <c r="G694" s="15">
        <v>45427</v>
      </c>
      <c r="H694" s="16">
        <v>0.375</v>
      </c>
      <c r="I694" s="17">
        <v>58.37</v>
      </c>
      <c r="J694" s="17">
        <v>25.54</v>
      </c>
      <c r="K694" s="17">
        <v>448.88</v>
      </c>
      <c r="L694" s="12"/>
    </row>
    <row r="695" spans="1:12" ht="16" x14ac:dyDescent="0.2">
      <c r="A695" s="7"/>
      <c r="B695" s="7"/>
      <c r="G695" s="15">
        <v>45427</v>
      </c>
      <c r="H695" s="16">
        <v>0.41666666666666669</v>
      </c>
      <c r="I695" s="17">
        <v>57.55</v>
      </c>
      <c r="J695" s="17">
        <v>24.28</v>
      </c>
      <c r="K695" s="17">
        <v>439.09</v>
      </c>
      <c r="L695" s="12"/>
    </row>
    <row r="696" spans="1:12" ht="16" x14ac:dyDescent="0.2">
      <c r="A696" s="7"/>
      <c r="B696" s="7"/>
      <c r="G696" s="15">
        <v>45427</v>
      </c>
      <c r="H696" s="16">
        <v>0.45833333333333331</v>
      </c>
      <c r="I696" s="17">
        <v>54.8</v>
      </c>
      <c r="J696" s="17">
        <v>27.5</v>
      </c>
      <c r="K696" s="17">
        <v>440.3</v>
      </c>
      <c r="L696" s="12"/>
    </row>
    <row r="697" spans="1:12" ht="16" x14ac:dyDescent="0.2">
      <c r="A697" s="7"/>
      <c r="B697" s="7"/>
      <c r="G697" s="15">
        <v>45428</v>
      </c>
      <c r="H697" s="16">
        <v>0.625</v>
      </c>
      <c r="I697" s="17">
        <v>56.09</v>
      </c>
      <c r="J697" s="17">
        <v>24.07</v>
      </c>
      <c r="K697" s="17">
        <v>433.07</v>
      </c>
      <c r="L697" s="12"/>
    </row>
    <row r="698" spans="1:12" ht="16" x14ac:dyDescent="0.2">
      <c r="A698" s="7"/>
      <c r="B698" s="7"/>
      <c r="G698" s="15">
        <v>45428</v>
      </c>
      <c r="H698" s="16">
        <v>0.66666666666666663</v>
      </c>
      <c r="I698" s="17">
        <v>57.02</v>
      </c>
      <c r="J698" s="17">
        <v>23.38</v>
      </c>
      <c r="K698" s="17">
        <v>431.8</v>
      </c>
      <c r="L698" s="12"/>
    </row>
    <row r="699" spans="1:12" ht="16" x14ac:dyDescent="0.2">
      <c r="A699" s="7"/>
      <c r="B699" s="7"/>
      <c r="G699" s="15">
        <v>45428</v>
      </c>
      <c r="H699" s="16">
        <v>0.70833333333333337</v>
      </c>
      <c r="I699" s="17">
        <v>57.7</v>
      </c>
      <c r="J699" s="17">
        <v>23.43</v>
      </c>
      <c r="K699" s="17">
        <v>434.85</v>
      </c>
      <c r="L699" s="12"/>
    </row>
    <row r="700" spans="1:12" ht="16" x14ac:dyDescent="0.2">
      <c r="A700" s="7"/>
      <c r="B700" s="7"/>
      <c r="G700" s="15">
        <v>45428</v>
      </c>
      <c r="H700" s="16">
        <v>0.75</v>
      </c>
      <c r="I700" s="17">
        <v>58.94</v>
      </c>
      <c r="J700" s="17">
        <v>22.88</v>
      </c>
      <c r="K700" s="17">
        <v>436.86</v>
      </c>
      <c r="L700" s="12"/>
    </row>
    <row r="701" spans="1:12" ht="16" x14ac:dyDescent="0.2">
      <c r="A701" s="7"/>
      <c r="B701" s="7"/>
      <c r="G701" s="15">
        <v>45428</v>
      </c>
      <c r="H701" s="16">
        <v>0.79166666666666663</v>
      </c>
      <c r="I701" s="17">
        <v>58.73</v>
      </c>
      <c r="J701" s="17">
        <v>25.63</v>
      </c>
      <c r="K701" s="17">
        <v>439.52</v>
      </c>
      <c r="L701" s="12"/>
    </row>
    <row r="702" spans="1:12" ht="16" x14ac:dyDescent="0.2">
      <c r="A702" s="7"/>
      <c r="B702" s="7"/>
      <c r="G702" s="15">
        <v>45428</v>
      </c>
      <c r="H702" s="16">
        <v>0.83333333333333337</v>
      </c>
      <c r="I702" s="17">
        <v>59.89</v>
      </c>
      <c r="J702" s="17">
        <v>23.79</v>
      </c>
      <c r="K702" s="17">
        <v>441.72</v>
      </c>
      <c r="L702" s="12"/>
    </row>
    <row r="703" spans="1:12" ht="16" x14ac:dyDescent="0.2">
      <c r="A703" s="7"/>
      <c r="B703" s="7"/>
      <c r="G703" s="15">
        <v>45428</v>
      </c>
      <c r="H703" s="16">
        <v>0.875</v>
      </c>
      <c r="I703" s="17">
        <v>60.18</v>
      </c>
      <c r="J703" s="17">
        <v>22.59</v>
      </c>
      <c r="K703" s="17">
        <v>444.26</v>
      </c>
      <c r="L703" s="12"/>
    </row>
    <row r="704" spans="1:12" ht="16" x14ac:dyDescent="0.2">
      <c r="A704" s="7"/>
      <c r="B704" s="7"/>
      <c r="G704" s="15">
        <v>45428</v>
      </c>
      <c r="H704" s="16">
        <v>0.91666666666666663</v>
      </c>
      <c r="I704" s="17">
        <v>61.11</v>
      </c>
      <c r="J704" s="17">
        <v>21.98</v>
      </c>
      <c r="K704" s="17">
        <v>447.26</v>
      </c>
      <c r="L704" s="12"/>
    </row>
    <row r="705" spans="1:12" ht="16" x14ac:dyDescent="0.2">
      <c r="A705" s="7"/>
      <c r="B705" s="7"/>
      <c r="G705" s="15">
        <v>45428</v>
      </c>
      <c r="H705" s="16">
        <v>0.95833333333333337</v>
      </c>
      <c r="I705" s="17">
        <v>61.7</v>
      </c>
      <c r="J705" s="17">
        <v>21.45</v>
      </c>
      <c r="K705" s="17">
        <v>450.49</v>
      </c>
      <c r="L705" s="12"/>
    </row>
    <row r="706" spans="1:12" ht="16" x14ac:dyDescent="0.2">
      <c r="A706" s="7"/>
      <c r="B706" s="7"/>
      <c r="G706" s="15">
        <v>45429</v>
      </c>
      <c r="H706" s="16">
        <v>0</v>
      </c>
      <c r="I706" s="17">
        <v>61.93</v>
      </c>
      <c r="J706" s="17">
        <v>20.95</v>
      </c>
      <c r="K706" s="17">
        <v>451.91</v>
      </c>
      <c r="L706" s="12"/>
    </row>
    <row r="707" spans="1:12" ht="16" x14ac:dyDescent="0.2">
      <c r="A707" s="7"/>
      <c r="B707" s="7"/>
      <c r="G707" s="15">
        <v>45429</v>
      </c>
      <c r="H707" s="16">
        <v>4.1666666666666664E-2</v>
      </c>
      <c r="I707" s="17">
        <v>62.55</v>
      </c>
      <c r="J707" s="17">
        <v>20.49</v>
      </c>
      <c r="K707" s="17">
        <v>453.69</v>
      </c>
      <c r="L707" s="12"/>
    </row>
    <row r="708" spans="1:12" ht="16" x14ac:dyDescent="0.2">
      <c r="A708" s="7"/>
      <c r="B708" s="7"/>
      <c r="G708" s="15">
        <v>45429</v>
      </c>
      <c r="H708" s="16">
        <v>8.3333333333333329E-2</v>
      </c>
      <c r="I708" s="17">
        <v>62.86</v>
      </c>
      <c r="J708" s="17">
        <v>20.22</v>
      </c>
      <c r="K708" s="17">
        <v>457.91</v>
      </c>
      <c r="L708" s="12"/>
    </row>
    <row r="709" spans="1:12" ht="16" x14ac:dyDescent="0.2">
      <c r="A709" s="7"/>
      <c r="B709" s="7"/>
      <c r="G709" s="15">
        <v>45429</v>
      </c>
      <c r="H709" s="16">
        <v>0.125</v>
      </c>
      <c r="I709" s="17">
        <v>63.56</v>
      </c>
      <c r="J709" s="17">
        <v>20.02</v>
      </c>
      <c r="K709" s="17">
        <v>460.51</v>
      </c>
      <c r="L709" s="12"/>
    </row>
    <row r="710" spans="1:12" ht="16" x14ac:dyDescent="0.2">
      <c r="A710" s="7"/>
      <c r="B710" s="7"/>
      <c r="G710" s="15">
        <v>45429</v>
      </c>
      <c r="H710" s="16">
        <v>0.16666666666666666</v>
      </c>
      <c r="I710" s="17">
        <v>64.239999999999995</v>
      </c>
      <c r="J710" s="17">
        <v>19.66</v>
      </c>
      <c r="K710" s="17">
        <v>461.89</v>
      </c>
      <c r="L710" s="12"/>
    </row>
    <row r="711" spans="1:12" ht="16" x14ac:dyDescent="0.2">
      <c r="A711" s="7"/>
      <c r="B711" s="7"/>
      <c r="G711" s="15">
        <v>45429</v>
      </c>
      <c r="H711" s="16">
        <v>0.20833333333333334</v>
      </c>
      <c r="I711" s="17">
        <v>64.53</v>
      </c>
      <c r="J711" s="17">
        <v>19.510000000000002</v>
      </c>
      <c r="K711" s="17">
        <v>466.75</v>
      </c>
      <c r="L711" s="12"/>
    </row>
    <row r="712" spans="1:12" ht="16" x14ac:dyDescent="0.2">
      <c r="A712" s="7"/>
      <c r="B712" s="7"/>
      <c r="G712" s="15">
        <v>45429</v>
      </c>
      <c r="H712" s="16">
        <v>0.25</v>
      </c>
      <c r="I712" s="17">
        <v>64.989999999999995</v>
      </c>
      <c r="J712" s="17">
        <v>20.11</v>
      </c>
      <c r="K712" s="17">
        <v>468.08</v>
      </c>
      <c r="L712" s="12"/>
    </row>
    <row r="713" spans="1:12" ht="16" x14ac:dyDescent="0.2">
      <c r="A713" s="7"/>
      <c r="B713" s="7"/>
      <c r="G713" s="15">
        <v>45429</v>
      </c>
      <c r="H713" s="16">
        <v>0.29166666666666669</v>
      </c>
      <c r="I713" s="17">
        <v>64.28</v>
      </c>
      <c r="J713" s="17">
        <v>24.09</v>
      </c>
      <c r="K713" s="17">
        <v>467.17</v>
      </c>
      <c r="L713" s="12"/>
    </row>
    <row r="714" spans="1:12" ht="16" x14ac:dyDescent="0.2">
      <c r="A714" s="7"/>
      <c r="B714" s="7"/>
      <c r="G714" s="15">
        <v>45429</v>
      </c>
      <c r="H714" s="16">
        <v>0.33333333333333331</v>
      </c>
      <c r="I714" s="17">
        <v>60.97</v>
      </c>
      <c r="J714" s="17">
        <v>26.8</v>
      </c>
      <c r="K714" s="17">
        <v>462.94</v>
      </c>
      <c r="L714" s="12"/>
    </row>
    <row r="715" spans="1:12" ht="16" x14ac:dyDescent="0.2">
      <c r="A715" s="7"/>
      <c r="B715" s="7"/>
      <c r="G715" s="15">
        <v>45429</v>
      </c>
      <c r="H715" s="16">
        <v>0.375</v>
      </c>
      <c r="I715" s="17">
        <v>57.9</v>
      </c>
      <c r="J715" s="17">
        <v>27.69</v>
      </c>
      <c r="K715" s="17">
        <v>456.74</v>
      </c>
      <c r="L715" s="12"/>
    </row>
    <row r="716" spans="1:12" ht="16" x14ac:dyDescent="0.2">
      <c r="A716" s="7"/>
      <c r="B716" s="7"/>
      <c r="G716" s="15">
        <v>45429</v>
      </c>
      <c r="H716" s="16">
        <v>0.41666666666666669</v>
      </c>
      <c r="I716" s="17">
        <v>55.74</v>
      </c>
      <c r="J716" s="17">
        <v>27.28</v>
      </c>
      <c r="K716" s="17">
        <v>445.11</v>
      </c>
      <c r="L716" s="12"/>
    </row>
    <row r="717" spans="1:12" ht="16" x14ac:dyDescent="0.2">
      <c r="A717" s="7"/>
      <c r="B717" s="7"/>
      <c r="G717" s="15">
        <v>45429</v>
      </c>
      <c r="H717" s="16">
        <v>0.45833333333333331</v>
      </c>
      <c r="I717" s="17">
        <v>54.24</v>
      </c>
      <c r="J717" s="17">
        <v>25.35</v>
      </c>
      <c r="K717" s="17">
        <v>436.09</v>
      </c>
      <c r="L717" s="12"/>
    </row>
    <row r="718" spans="1:12" ht="16" x14ac:dyDescent="0.2">
      <c r="A718" s="7"/>
      <c r="B718" s="7"/>
      <c r="G718" s="15">
        <v>45429</v>
      </c>
      <c r="H718" s="16">
        <v>0.5</v>
      </c>
      <c r="I718" s="17">
        <v>53.76</v>
      </c>
      <c r="J718" s="17">
        <v>25.2</v>
      </c>
      <c r="K718" s="17">
        <v>433.18</v>
      </c>
      <c r="L718" s="12"/>
    </row>
    <row r="719" spans="1:12" ht="16" x14ac:dyDescent="0.2">
      <c r="A719" s="7"/>
      <c r="B719" s="7"/>
      <c r="G719" s="15">
        <v>45429</v>
      </c>
      <c r="H719" s="16">
        <v>0.54166666666666663</v>
      </c>
      <c r="I719" s="17">
        <v>53.28</v>
      </c>
      <c r="J719" s="17">
        <v>25.27</v>
      </c>
      <c r="K719" s="17">
        <v>434.18</v>
      </c>
      <c r="L719" s="12"/>
    </row>
    <row r="720" spans="1:12" ht="16" x14ac:dyDescent="0.2">
      <c r="A720" s="7"/>
      <c r="B720" s="7"/>
      <c r="G720" s="15">
        <v>45429</v>
      </c>
      <c r="H720" s="16">
        <v>0.58333333333333337</v>
      </c>
      <c r="I720" s="17">
        <v>53.33</v>
      </c>
      <c r="J720" s="17">
        <v>25.45</v>
      </c>
      <c r="K720" s="17">
        <v>431.41</v>
      </c>
      <c r="L720" s="12"/>
    </row>
    <row r="721" spans="1:12" ht="16" x14ac:dyDescent="0.2">
      <c r="A721" s="7"/>
      <c r="B721" s="7"/>
      <c r="G721" s="18"/>
      <c r="H721" s="18"/>
      <c r="I721" s="17"/>
      <c r="J721" s="17"/>
      <c r="K721" s="17"/>
      <c r="L721" s="12"/>
    </row>
    <row r="722" spans="1:12" ht="13" x14ac:dyDescent="0.15">
      <c r="A722" s="7"/>
      <c r="B722" s="7"/>
      <c r="G722" s="9"/>
      <c r="H722" s="9"/>
      <c r="I722" s="12"/>
      <c r="J722" s="12"/>
      <c r="K722" s="12"/>
      <c r="L722" s="12"/>
    </row>
    <row r="723" spans="1:12" ht="13" x14ac:dyDescent="0.15">
      <c r="A723" s="7"/>
      <c r="B723" s="7"/>
      <c r="G723" s="9"/>
      <c r="H723" s="9"/>
      <c r="I723" s="12"/>
      <c r="J723" s="12"/>
      <c r="K723" s="12"/>
      <c r="L723" s="12"/>
    </row>
    <row r="724" spans="1:12" ht="13" x14ac:dyDescent="0.15">
      <c r="A724" s="7"/>
      <c r="B724" s="7"/>
      <c r="G724" s="9"/>
      <c r="H724" s="9"/>
      <c r="I724" s="12"/>
      <c r="J724" s="12"/>
      <c r="K724" s="12"/>
      <c r="L724" s="12"/>
    </row>
    <row r="725" spans="1:12" ht="13" x14ac:dyDescent="0.15">
      <c r="A725" s="7"/>
      <c r="B725" s="7"/>
      <c r="G725" s="9"/>
      <c r="H725" s="9"/>
      <c r="I725" s="12"/>
      <c r="J725" s="12"/>
      <c r="K725" s="12"/>
      <c r="L725" s="12"/>
    </row>
    <row r="726" spans="1:12" ht="13" x14ac:dyDescent="0.15">
      <c r="A726" s="7"/>
      <c r="B726" s="7"/>
      <c r="G726" s="9"/>
      <c r="H726" s="9"/>
      <c r="I726" s="12"/>
      <c r="J726" s="12"/>
      <c r="K726" s="12"/>
      <c r="L726" s="12"/>
    </row>
    <row r="727" spans="1:12" ht="13" x14ac:dyDescent="0.15">
      <c r="A727" s="7"/>
      <c r="B727" s="7"/>
      <c r="G727" s="9"/>
      <c r="H727" s="9"/>
      <c r="I727" s="12"/>
      <c r="J727" s="12"/>
      <c r="K727" s="12"/>
      <c r="L727" s="12"/>
    </row>
    <row r="728" spans="1:12" ht="13" x14ac:dyDescent="0.15">
      <c r="A728" s="7"/>
      <c r="B728" s="7"/>
      <c r="G728" s="9"/>
      <c r="H728" s="9"/>
      <c r="I728" s="12"/>
      <c r="J728" s="12"/>
      <c r="K728" s="12"/>
      <c r="L728" s="12"/>
    </row>
    <row r="729" spans="1:12" ht="13" x14ac:dyDescent="0.15">
      <c r="A729" s="7"/>
      <c r="B729" s="7"/>
      <c r="G729" s="9"/>
      <c r="H729" s="9"/>
      <c r="I729" s="12"/>
      <c r="J729" s="12"/>
      <c r="K729" s="12"/>
      <c r="L729" s="12"/>
    </row>
    <row r="730" spans="1:12" ht="13" x14ac:dyDescent="0.15">
      <c r="A730" s="7"/>
      <c r="B730" s="7"/>
      <c r="G730" s="9"/>
      <c r="H730" s="9"/>
      <c r="I730" s="12"/>
      <c r="J730" s="12"/>
      <c r="K730" s="12"/>
      <c r="L730" s="12"/>
    </row>
    <row r="731" spans="1:12" ht="13" x14ac:dyDescent="0.15">
      <c r="A731" s="7"/>
      <c r="B731" s="7"/>
      <c r="G731" s="9"/>
      <c r="H731" s="9"/>
      <c r="I731" s="12"/>
      <c r="J731" s="12"/>
      <c r="K731" s="12"/>
      <c r="L731" s="12"/>
    </row>
    <row r="732" spans="1:12" ht="13" x14ac:dyDescent="0.15">
      <c r="A732" s="7"/>
      <c r="B732" s="7"/>
      <c r="G732" s="9"/>
      <c r="H732" s="9"/>
      <c r="I732" s="12"/>
      <c r="J732" s="12"/>
      <c r="K732" s="12"/>
      <c r="L732" s="12"/>
    </row>
    <row r="733" spans="1:12" ht="13" x14ac:dyDescent="0.15">
      <c r="A733" s="7"/>
      <c r="B733" s="7"/>
      <c r="G733" s="9"/>
      <c r="H733" s="9"/>
      <c r="I733" s="12"/>
      <c r="J733" s="12"/>
      <c r="K733" s="12"/>
      <c r="L733" s="12"/>
    </row>
    <row r="734" spans="1:12" ht="13" x14ac:dyDescent="0.15">
      <c r="A734" s="7"/>
      <c r="B734" s="7"/>
      <c r="G734" s="9"/>
      <c r="H734" s="9"/>
      <c r="I734" s="12"/>
      <c r="J734" s="12"/>
      <c r="K734" s="12"/>
      <c r="L734" s="12"/>
    </row>
    <row r="735" spans="1:12" ht="13" x14ac:dyDescent="0.15">
      <c r="A735" s="7"/>
      <c r="B735" s="7"/>
      <c r="G735" s="9"/>
      <c r="H735" s="9"/>
      <c r="I735" s="12"/>
      <c r="J735" s="12"/>
      <c r="K735" s="12"/>
      <c r="L735" s="12"/>
    </row>
    <row r="736" spans="1:12" ht="13" x14ac:dyDescent="0.15">
      <c r="A736" s="7"/>
      <c r="B736" s="7"/>
      <c r="G736" s="9"/>
      <c r="H736" s="9"/>
      <c r="I736" s="12"/>
      <c r="J736" s="12"/>
      <c r="K736" s="12"/>
      <c r="L736" s="12"/>
    </row>
    <row r="737" spans="1:12" ht="13" x14ac:dyDescent="0.15">
      <c r="A737" s="7"/>
      <c r="B737" s="7"/>
      <c r="G737" s="9"/>
      <c r="H737" s="9"/>
      <c r="I737" s="12"/>
      <c r="J737" s="12"/>
      <c r="K737" s="12"/>
      <c r="L737" s="12"/>
    </row>
    <row r="738" spans="1:12" ht="13" x14ac:dyDescent="0.15">
      <c r="A738" s="7"/>
      <c r="B738" s="7"/>
      <c r="G738" s="9"/>
      <c r="H738" s="9"/>
      <c r="I738" s="12"/>
      <c r="J738" s="12"/>
      <c r="K738" s="12"/>
      <c r="L738" s="12"/>
    </row>
    <row r="739" spans="1:12" ht="13" x14ac:dyDescent="0.15">
      <c r="A739" s="7"/>
      <c r="B739" s="7"/>
      <c r="G739" s="9"/>
      <c r="H739" s="9"/>
      <c r="I739" s="12"/>
      <c r="J739" s="12"/>
      <c r="K739" s="12"/>
      <c r="L739" s="12"/>
    </row>
    <row r="740" spans="1:12" ht="13" x14ac:dyDescent="0.15">
      <c r="A740" s="7"/>
      <c r="B740" s="7"/>
      <c r="G740" s="9"/>
      <c r="H740" s="9"/>
      <c r="I740" s="12"/>
      <c r="J740" s="12"/>
      <c r="K740" s="12"/>
      <c r="L740" s="12"/>
    </row>
    <row r="741" spans="1:12" ht="13" x14ac:dyDescent="0.15">
      <c r="A741" s="7"/>
      <c r="B741" s="7"/>
      <c r="G741" s="9"/>
      <c r="H741" s="9"/>
      <c r="I741" s="12"/>
      <c r="J741" s="12"/>
      <c r="K741" s="12"/>
      <c r="L741" s="12"/>
    </row>
    <row r="742" spans="1:12" ht="13" x14ac:dyDescent="0.15">
      <c r="A742" s="7"/>
      <c r="B742" s="7"/>
      <c r="G742" s="9"/>
      <c r="H742" s="9"/>
      <c r="I742" s="12"/>
      <c r="J742" s="12"/>
      <c r="K742" s="12"/>
      <c r="L742" s="12"/>
    </row>
    <row r="743" spans="1:12" ht="13" x14ac:dyDescent="0.15">
      <c r="A743" s="7"/>
      <c r="B743" s="7"/>
      <c r="G743" s="9"/>
      <c r="H743" s="9"/>
      <c r="I743" s="12"/>
      <c r="J743" s="12"/>
      <c r="K743" s="12"/>
      <c r="L743" s="12"/>
    </row>
    <row r="744" spans="1:12" ht="13" x14ac:dyDescent="0.15">
      <c r="A744" s="7"/>
      <c r="B744" s="7"/>
      <c r="G744" s="9"/>
      <c r="H744" s="9"/>
      <c r="I744" s="12"/>
      <c r="J744" s="12"/>
      <c r="K744" s="12"/>
      <c r="L744" s="12"/>
    </row>
    <row r="745" spans="1:12" ht="13" x14ac:dyDescent="0.15">
      <c r="A745" s="7"/>
      <c r="B745" s="7"/>
      <c r="G745" s="9"/>
      <c r="H745" s="9"/>
      <c r="I745" s="12"/>
      <c r="J745" s="12"/>
      <c r="K745" s="12"/>
      <c r="L745" s="12"/>
    </row>
    <row r="746" spans="1:12" ht="13" x14ac:dyDescent="0.15">
      <c r="A746" s="7"/>
      <c r="B746" s="7"/>
      <c r="G746" s="9"/>
      <c r="H746" s="9"/>
      <c r="I746" s="12"/>
      <c r="J746" s="12"/>
      <c r="K746" s="12"/>
      <c r="L746" s="12"/>
    </row>
    <row r="747" spans="1:12" ht="13" x14ac:dyDescent="0.15">
      <c r="A747" s="7"/>
      <c r="B747" s="7"/>
      <c r="G747" s="9"/>
      <c r="H747" s="9"/>
      <c r="I747" s="12"/>
      <c r="J747" s="12"/>
      <c r="K747" s="12"/>
      <c r="L747" s="12"/>
    </row>
    <row r="748" spans="1:12" ht="13" x14ac:dyDescent="0.15">
      <c r="A748" s="7"/>
      <c r="B748" s="7"/>
      <c r="G748" s="9"/>
      <c r="H748" s="9"/>
      <c r="I748" s="12"/>
      <c r="J748" s="12"/>
      <c r="K748" s="12"/>
      <c r="L748" s="12"/>
    </row>
    <row r="749" spans="1:12" ht="13" x14ac:dyDescent="0.15">
      <c r="A749" s="7"/>
      <c r="B749" s="7"/>
      <c r="G749" s="9"/>
      <c r="H749" s="9"/>
      <c r="I749" s="12"/>
      <c r="J749" s="12"/>
      <c r="K749" s="12"/>
      <c r="L749" s="12"/>
    </row>
    <row r="750" spans="1:12" ht="13" x14ac:dyDescent="0.15">
      <c r="A750" s="7"/>
      <c r="B750" s="7"/>
      <c r="G750" s="9"/>
      <c r="H750" s="9"/>
      <c r="I750" s="12"/>
      <c r="J750" s="12"/>
      <c r="K750" s="12"/>
      <c r="L750" s="12"/>
    </row>
    <row r="751" spans="1:12" ht="13" x14ac:dyDescent="0.15">
      <c r="A751" s="7"/>
      <c r="B751" s="7"/>
      <c r="G751" s="9"/>
      <c r="H751" s="9"/>
      <c r="I751" s="12"/>
      <c r="J751" s="12"/>
      <c r="K751" s="12"/>
      <c r="L751" s="12"/>
    </row>
    <row r="752" spans="1:12" ht="13" x14ac:dyDescent="0.15">
      <c r="A752" s="7"/>
      <c r="B752" s="7"/>
      <c r="G752" s="9"/>
      <c r="H752" s="9"/>
      <c r="I752" s="12"/>
      <c r="J752" s="12"/>
      <c r="K752" s="12"/>
      <c r="L752" s="12"/>
    </row>
    <row r="753" spans="1:12" ht="13" x14ac:dyDescent="0.15">
      <c r="A753" s="7"/>
      <c r="B753" s="7"/>
      <c r="G753" s="9"/>
      <c r="H753" s="9"/>
      <c r="I753" s="12"/>
      <c r="J753" s="12"/>
      <c r="K753" s="12"/>
      <c r="L753" s="12"/>
    </row>
    <row r="754" spans="1:12" ht="13" x14ac:dyDescent="0.15">
      <c r="A754" s="7"/>
      <c r="B754" s="7"/>
      <c r="G754" s="9"/>
      <c r="H754" s="9"/>
      <c r="I754" s="12"/>
      <c r="J754" s="12"/>
      <c r="K754" s="12"/>
      <c r="L754" s="12"/>
    </row>
    <row r="755" spans="1:12" ht="13" x14ac:dyDescent="0.15">
      <c r="A755" s="7"/>
      <c r="B755" s="7"/>
      <c r="G755" s="9"/>
      <c r="H755" s="9"/>
      <c r="I755" s="12"/>
      <c r="J755" s="12"/>
      <c r="K755" s="12"/>
      <c r="L755" s="12"/>
    </row>
    <row r="756" spans="1:12" ht="13" x14ac:dyDescent="0.15">
      <c r="A756" s="7"/>
      <c r="B756" s="7"/>
      <c r="G756" s="9"/>
      <c r="H756" s="9"/>
      <c r="I756" s="12"/>
      <c r="J756" s="12"/>
      <c r="K756" s="12"/>
      <c r="L756" s="12"/>
    </row>
    <row r="757" spans="1:12" ht="13" x14ac:dyDescent="0.15">
      <c r="A757" s="7"/>
      <c r="B757" s="7"/>
      <c r="G757" s="9"/>
      <c r="H757" s="9"/>
      <c r="I757" s="12"/>
      <c r="J757" s="12"/>
      <c r="K757" s="12"/>
      <c r="L757" s="12"/>
    </row>
    <row r="758" spans="1:12" ht="13" x14ac:dyDescent="0.15">
      <c r="A758" s="7"/>
      <c r="B758" s="7"/>
      <c r="G758" s="9"/>
      <c r="H758" s="9"/>
      <c r="I758" s="12"/>
      <c r="J758" s="12"/>
      <c r="K758" s="12"/>
      <c r="L758" s="12"/>
    </row>
    <row r="759" spans="1:12" ht="13" x14ac:dyDescent="0.15">
      <c r="A759" s="7"/>
      <c r="B759" s="7"/>
      <c r="G759" s="9"/>
      <c r="H759" s="9"/>
      <c r="I759" s="12"/>
      <c r="J759" s="12"/>
      <c r="K759" s="12"/>
      <c r="L759" s="12"/>
    </row>
    <row r="760" spans="1:12" ht="13" x14ac:dyDescent="0.15">
      <c r="A760" s="7"/>
      <c r="B760" s="7"/>
      <c r="G760" s="9"/>
      <c r="H760" s="9"/>
      <c r="I760" s="12"/>
      <c r="J760" s="12"/>
      <c r="K760" s="12"/>
      <c r="L760" s="12"/>
    </row>
    <row r="761" spans="1:12" ht="13" x14ac:dyDescent="0.15">
      <c r="A761" s="7"/>
      <c r="B761" s="7"/>
      <c r="G761" s="9"/>
      <c r="H761" s="9"/>
      <c r="I761" s="12"/>
      <c r="J761" s="12"/>
      <c r="K761" s="12"/>
      <c r="L761" s="12"/>
    </row>
    <row r="762" spans="1:12" ht="13" x14ac:dyDescent="0.15">
      <c r="A762" s="7"/>
      <c r="B762" s="7"/>
      <c r="G762" s="9"/>
      <c r="H762" s="9"/>
      <c r="I762" s="12"/>
      <c r="J762" s="12"/>
      <c r="K762" s="12"/>
      <c r="L762" s="12"/>
    </row>
    <row r="763" spans="1:12" ht="13" x14ac:dyDescent="0.15">
      <c r="A763" s="7"/>
      <c r="B763" s="7"/>
      <c r="G763" s="9"/>
      <c r="H763" s="9"/>
      <c r="I763" s="12"/>
      <c r="J763" s="12"/>
      <c r="K763" s="12"/>
      <c r="L763" s="12"/>
    </row>
    <row r="764" spans="1:12" ht="13" x14ac:dyDescent="0.15">
      <c r="A764" s="7"/>
      <c r="B764" s="7"/>
      <c r="G764" s="9"/>
      <c r="H764" s="9"/>
      <c r="I764" s="12"/>
      <c r="J764" s="12"/>
      <c r="K764" s="12"/>
      <c r="L764" s="12"/>
    </row>
    <row r="765" spans="1:12" ht="13" x14ac:dyDescent="0.15">
      <c r="A765" s="7"/>
      <c r="B765" s="7"/>
      <c r="G765" s="9"/>
      <c r="H765" s="9"/>
      <c r="I765" s="12"/>
      <c r="J765" s="12"/>
      <c r="K765" s="12"/>
      <c r="L765" s="12"/>
    </row>
    <row r="766" spans="1:12" ht="13" x14ac:dyDescent="0.15">
      <c r="A766" s="7"/>
      <c r="B766" s="7"/>
      <c r="G766" s="9"/>
      <c r="H766" s="9"/>
      <c r="I766" s="12"/>
      <c r="J766" s="12"/>
      <c r="K766" s="12"/>
      <c r="L766" s="12"/>
    </row>
    <row r="767" spans="1:12" ht="13" x14ac:dyDescent="0.15">
      <c r="A767" s="7"/>
      <c r="B767" s="7"/>
      <c r="G767" s="9"/>
      <c r="H767" s="9"/>
      <c r="I767" s="12"/>
      <c r="J767" s="12"/>
      <c r="K767" s="12"/>
      <c r="L767" s="12"/>
    </row>
    <row r="768" spans="1:12" ht="13" x14ac:dyDescent="0.15">
      <c r="A768" s="7"/>
      <c r="B768" s="7"/>
      <c r="G768" s="9"/>
      <c r="H768" s="9"/>
      <c r="I768" s="12"/>
      <c r="J768" s="12"/>
      <c r="K768" s="12"/>
      <c r="L768" s="12"/>
    </row>
    <row r="769" spans="1:12" ht="13" x14ac:dyDescent="0.15">
      <c r="A769" s="7"/>
      <c r="B769" s="7"/>
      <c r="G769" s="9"/>
      <c r="H769" s="9"/>
      <c r="I769" s="12"/>
      <c r="J769" s="12"/>
      <c r="K769" s="12"/>
      <c r="L769" s="12"/>
    </row>
    <row r="770" spans="1:12" ht="13" x14ac:dyDescent="0.15">
      <c r="A770" s="7"/>
      <c r="B770" s="7"/>
      <c r="G770" s="9"/>
      <c r="H770" s="9"/>
      <c r="I770" s="12"/>
      <c r="J770" s="12"/>
      <c r="K770" s="12"/>
      <c r="L770" s="12"/>
    </row>
    <row r="771" spans="1:12" ht="13" x14ac:dyDescent="0.15">
      <c r="A771" s="7"/>
      <c r="B771" s="7"/>
      <c r="G771" s="9"/>
      <c r="H771" s="9"/>
      <c r="I771" s="12"/>
      <c r="J771" s="12"/>
      <c r="K771" s="12"/>
      <c r="L771" s="12"/>
    </row>
    <row r="772" spans="1:12" ht="13" x14ac:dyDescent="0.15">
      <c r="A772" s="7"/>
      <c r="B772" s="7"/>
      <c r="G772" s="9"/>
      <c r="H772" s="9"/>
      <c r="I772" s="12"/>
      <c r="J772" s="12"/>
      <c r="K772" s="12"/>
      <c r="L772" s="12"/>
    </row>
    <row r="773" spans="1:12" ht="13" x14ac:dyDescent="0.15">
      <c r="A773" s="7"/>
      <c r="B773" s="7"/>
      <c r="G773" s="9"/>
      <c r="H773" s="9"/>
      <c r="I773" s="12"/>
      <c r="J773" s="12"/>
      <c r="K773" s="12"/>
      <c r="L773" s="12"/>
    </row>
    <row r="774" spans="1:12" ht="13" x14ac:dyDescent="0.15">
      <c r="A774" s="7"/>
      <c r="B774" s="7"/>
      <c r="G774" s="9"/>
      <c r="H774" s="9"/>
      <c r="I774" s="12"/>
      <c r="J774" s="12"/>
      <c r="K774" s="12"/>
      <c r="L774" s="12"/>
    </row>
    <row r="775" spans="1:12" ht="13" x14ac:dyDescent="0.15">
      <c r="A775" s="7"/>
      <c r="B775" s="7"/>
      <c r="G775" s="9"/>
      <c r="H775" s="9"/>
      <c r="I775" s="12"/>
      <c r="J775" s="12"/>
      <c r="K775" s="12"/>
      <c r="L775" s="12"/>
    </row>
    <row r="776" spans="1:12" ht="13" x14ac:dyDescent="0.15">
      <c r="A776" s="7"/>
      <c r="B776" s="7"/>
      <c r="G776" s="9"/>
      <c r="H776" s="9"/>
      <c r="I776" s="12"/>
      <c r="J776" s="12"/>
      <c r="K776" s="12"/>
      <c r="L776" s="12"/>
    </row>
    <row r="777" spans="1:12" ht="13" x14ac:dyDescent="0.15">
      <c r="A777" s="7"/>
      <c r="B777" s="7"/>
      <c r="G777" s="9"/>
      <c r="H777" s="9"/>
      <c r="I777" s="12"/>
      <c r="J777" s="12"/>
      <c r="K777" s="12"/>
      <c r="L777" s="12"/>
    </row>
    <row r="778" spans="1:12" ht="13" x14ac:dyDescent="0.15">
      <c r="A778" s="7"/>
      <c r="B778" s="7"/>
      <c r="G778" s="9"/>
      <c r="H778" s="9"/>
      <c r="I778" s="12"/>
      <c r="J778" s="12"/>
      <c r="K778" s="12"/>
      <c r="L778" s="12"/>
    </row>
    <row r="779" spans="1:12" ht="13" x14ac:dyDescent="0.15">
      <c r="A779" s="7"/>
      <c r="B779" s="7"/>
      <c r="G779" s="9"/>
      <c r="H779" s="9"/>
      <c r="I779" s="12"/>
      <c r="J779" s="12"/>
      <c r="K779" s="12"/>
      <c r="L779" s="12"/>
    </row>
    <row r="780" spans="1:12" ht="13" x14ac:dyDescent="0.15">
      <c r="A780" s="7"/>
      <c r="B780" s="7"/>
      <c r="G780" s="9"/>
      <c r="H780" s="9"/>
      <c r="I780" s="12"/>
      <c r="J780" s="12"/>
      <c r="K780" s="12"/>
      <c r="L780" s="12"/>
    </row>
    <row r="781" spans="1:12" ht="13" x14ac:dyDescent="0.15">
      <c r="A781" s="7"/>
      <c r="B781" s="7"/>
      <c r="G781" s="9"/>
      <c r="H781" s="9"/>
      <c r="I781" s="12"/>
      <c r="J781" s="12"/>
      <c r="K781" s="12"/>
      <c r="L781" s="12"/>
    </row>
    <row r="782" spans="1:12" ht="13" x14ac:dyDescent="0.15">
      <c r="A782" s="7"/>
      <c r="B782" s="7"/>
      <c r="G782" s="9"/>
      <c r="H782" s="9"/>
      <c r="I782" s="12"/>
      <c r="J782" s="12"/>
      <c r="K782" s="12"/>
      <c r="L782" s="12"/>
    </row>
    <row r="783" spans="1:12" ht="13" x14ac:dyDescent="0.15">
      <c r="A783" s="7"/>
      <c r="B783" s="7"/>
      <c r="G783" s="9"/>
      <c r="H783" s="9"/>
      <c r="I783" s="12"/>
      <c r="J783" s="12"/>
      <c r="K783" s="12"/>
      <c r="L783" s="12"/>
    </row>
    <row r="784" spans="1:12" ht="13" x14ac:dyDescent="0.15">
      <c r="A784" s="7"/>
      <c r="B784" s="7"/>
      <c r="G784" s="9"/>
      <c r="H784" s="9"/>
      <c r="I784" s="12"/>
      <c r="J784" s="12"/>
      <c r="K784" s="12"/>
      <c r="L784" s="12"/>
    </row>
    <row r="785" spans="1:12" ht="13" x14ac:dyDescent="0.15">
      <c r="A785" s="7"/>
      <c r="B785" s="7"/>
      <c r="G785" s="9"/>
      <c r="H785" s="9"/>
      <c r="I785" s="12"/>
      <c r="J785" s="12"/>
      <c r="K785" s="12"/>
      <c r="L785" s="12"/>
    </row>
    <row r="786" spans="1:12" ht="13" x14ac:dyDescent="0.15">
      <c r="A786" s="7"/>
      <c r="B786" s="7"/>
      <c r="G786" s="9"/>
      <c r="H786" s="9"/>
      <c r="I786" s="12"/>
      <c r="J786" s="12"/>
      <c r="K786" s="12"/>
      <c r="L786" s="12"/>
    </row>
    <row r="787" spans="1:12" ht="13" x14ac:dyDescent="0.15">
      <c r="A787" s="7"/>
      <c r="B787" s="7"/>
      <c r="G787" s="9"/>
      <c r="H787" s="9"/>
      <c r="I787" s="12"/>
      <c r="J787" s="12"/>
      <c r="K787" s="12"/>
      <c r="L787" s="12"/>
    </row>
    <row r="788" spans="1:12" ht="13" x14ac:dyDescent="0.15">
      <c r="A788" s="7"/>
      <c r="B788" s="7"/>
      <c r="G788" s="9"/>
      <c r="H788" s="9"/>
      <c r="I788" s="12"/>
      <c r="J788" s="12"/>
      <c r="K788" s="12"/>
      <c r="L788" s="12"/>
    </row>
    <row r="789" spans="1:12" ht="13" x14ac:dyDescent="0.15">
      <c r="A789" s="7"/>
      <c r="B789" s="7"/>
      <c r="G789" s="9"/>
      <c r="H789" s="9"/>
      <c r="I789" s="12"/>
      <c r="J789" s="12"/>
      <c r="K789" s="12"/>
      <c r="L789" s="12"/>
    </row>
    <row r="790" spans="1:12" ht="13" x14ac:dyDescent="0.15">
      <c r="A790" s="7"/>
      <c r="B790" s="7"/>
      <c r="G790" s="9"/>
      <c r="H790" s="9"/>
      <c r="I790" s="12"/>
      <c r="J790" s="12"/>
      <c r="K790" s="12"/>
      <c r="L790" s="12"/>
    </row>
    <row r="791" spans="1:12" ht="13" x14ac:dyDescent="0.15">
      <c r="A791" s="7"/>
      <c r="B791" s="7"/>
      <c r="G791" s="9"/>
      <c r="H791" s="9"/>
      <c r="I791" s="12"/>
      <c r="J791" s="12"/>
      <c r="K791" s="12"/>
      <c r="L791" s="12"/>
    </row>
    <row r="792" spans="1:12" ht="13" x14ac:dyDescent="0.15">
      <c r="A792" s="7"/>
      <c r="B792" s="7"/>
      <c r="G792" s="9"/>
      <c r="H792" s="9"/>
      <c r="I792" s="12"/>
      <c r="J792" s="12"/>
      <c r="K792" s="12"/>
      <c r="L792" s="12"/>
    </row>
    <row r="793" spans="1:12" ht="13" x14ac:dyDescent="0.15">
      <c r="A793" s="7"/>
      <c r="B793" s="7"/>
      <c r="G793" s="9"/>
      <c r="H793" s="9"/>
      <c r="I793" s="12"/>
      <c r="J793" s="12"/>
      <c r="K793" s="12"/>
      <c r="L793" s="12"/>
    </row>
    <row r="794" spans="1:12" ht="13" x14ac:dyDescent="0.15">
      <c r="A794" s="7"/>
      <c r="B794" s="7"/>
      <c r="G794" s="9"/>
      <c r="H794" s="9"/>
      <c r="I794" s="12"/>
      <c r="J794" s="12"/>
      <c r="K794" s="12"/>
      <c r="L794" s="12"/>
    </row>
    <row r="795" spans="1:12" ht="13" x14ac:dyDescent="0.15">
      <c r="A795" s="7"/>
      <c r="B795" s="7"/>
      <c r="G795" s="9"/>
      <c r="H795" s="9"/>
      <c r="I795" s="12"/>
      <c r="J795" s="12"/>
      <c r="K795" s="12"/>
      <c r="L795" s="12"/>
    </row>
    <row r="796" spans="1:12" ht="13" x14ac:dyDescent="0.15">
      <c r="A796" s="7"/>
      <c r="B796" s="7"/>
      <c r="G796" s="9"/>
      <c r="H796" s="9"/>
      <c r="I796" s="12"/>
      <c r="J796" s="12"/>
      <c r="K796" s="12"/>
      <c r="L796" s="12"/>
    </row>
    <row r="797" spans="1:12" ht="13" x14ac:dyDescent="0.15">
      <c r="A797" s="7"/>
      <c r="B797" s="7"/>
      <c r="G797" s="9"/>
      <c r="H797" s="9"/>
      <c r="I797" s="12"/>
      <c r="J797" s="12"/>
      <c r="K797" s="12"/>
      <c r="L797" s="12"/>
    </row>
    <row r="798" spans="1:12" ht="13" x14ac:dyDescent="0.15">
      <c r="A798" s="7"/>
      <c r="B798" s="7"/>
      <c r="G798" s="9"/>
      <c r="H798" s="9"/>
      <c r="I798" s="12"/>
      <c r="J798" s="12"/>
      <c r="K798" s="12"/>
      <c r="L798" s="12"/>
    </row>
    <row r="799" spans="1:12" ht="13" x14ac:dyDescent="0.15">
      <c r="A799" s="7"/>
      <c r="B799" s="7"/>
      <c r="G799" s="9"/>
      <c r="H799" s="9"/>
      <c r="I799" s="12"/>
      <c r="J799" s="12"/>
      <c r="K799" s="12"/>
      <c r="L799" s="12"/>
    </row>
    <row r="800" spans="1:12" ht="13" x14ac:dyDescent="0.15">
      <c r="A800" s="7"/>
      <c r="B800" s="7"/>
      <c r="G800" s="9"/>
      <c r="H800" s="9"/>
      <c r="I800" s="12"/>
      <c r="J800" s="12"/>
      <c r="K800" s="12"/>
      <c r="L800" s="12"/>
    </row>
    <row r="801" spans="1:12" ht="13" x14ac:dyDescent="0.15">
      <c r="A801" s="7"/>
      <c r="B801" s="7"/>
      <c r="G801" s="9"/>
      <c r="H801" s="9"/>
      <c r="I801" s="12"/>
      <c r="J801" s="12"/>
      <c r="K801" s="12"/>
      <c r="L801" s="12"/>
    </row>
    <row r="802" spans="1:12" ht="13" x14ac:dyDescent="0.15">
      <c r="A802" s="7"/>
      <c r="B802" s="7"/>
      <c r="G802" s="9"/>
      <c r="H802" s="9"/>
      <c r="I802" s="12"/>
      <c r="J802" s="12"/>
      <c r="K802" s="12"/>
      <c r="L802" s="12"/>
    </row>
    <row r="803" spans="1:12" ht="13" x14ac:dyDescent="0.15">
      <c r="A803" s="7"/>
      <c r="B803" s="7"/>
      <c r="G803" s="9"/>
      <c r="H803" s="9"/>
      <c r="I803" s="12"/>
      <c r="J803" s="12"/>
      <c r="K803" s="12"/>
      <c r="L803" s="12"/>
    </row>
    <row r="804" spans="1:12" ht="13" x14ac:dyDescent="0.15">
      <c r="A804" s="7"/>
      <c r="B804" s="7"/>
      <c r="G804" s="9"/>
      <c r="H804" s="9"/>
      <c r="I804" s="12"/>
      <c r="J804" s="12"/>
      <c r="K804" s="12"/>
      <c r="L804" s="12"/>
    </row>
    <row r="805" spans="1:12" ht="13" x14ac:dyDescent="0.15">
      <c r="A805" s="7"/>
      <c r="B805" s="7"/>
      <c r="G805" s="9"/>
      <c r="H805" s="9"/>
      <c r="I805" s="12"/>
      <c r="J805" s="12"/>
      <c r="K805" s="12"/>
      <c r="L805" s="12"/>
    </row>
    <row r="806" spans="1:12" ht="13" x14ac:dyDescent="0.15">
      <c r="A806" s="7"/>
      <c r="B806" s="7"/>
      <c r="G806" s="9"/>
      <c r="H806" s="9"/>
      <c r="I806" s="12"/>
      <c r="J806" s="12"/>
      <c r="K806" s="12"/>
      <c r="L806" s="12"/>
    </row>
    <row r="807" spans="1:12" ht="13" x14ac:dyDescent="0.15">
      <c r="A807" s="7"/>
      <c r="B807" s="7"/>
      <c r="G807" s="9"/>
      <c r="H807" s="9"/>
      <c r="I807" s="12"/>
      <c r="J807" s="12"/>
      <c r="K807" s="12"/>
      <c r="L807" s="12"/>
    </row>
    <row r="808" spans="1:12" ht="13" x14ac:dyDescent="0.15">
      <c r="A808" s="7"/>
      <c r="B808" s="7"/>
      <c r="G808" s="9"/>
      <c r="H808" s="9"/>
      <c r="I808" s="12"/>
      <c r="J808" s="12"/>
      <c r="K808" s="12"/>
      <c r="L808" s="12"/>
    </row>
    <row r="809" spans="1:12" ht="13" x14ac:dyDescent="0.15">
      <c r="A809" s="7"/>
      <c r="B809" s="7"/>
      <c r="G809" s="9"/>
      <c r="H809" s="9"/>
      <c r="I809" s="12"/>
      <c r="J809" s="12"/>
      <c r="K809" s="12"/>
      <c r="L809" s="12"/>
    </row>
    <row r="810" spans="1:12" ht="13" x14ac:dyDescent="0.15">
      <c r="A810" s="7"/>
      <c r="B810" s="7"/>
      <c r="G810" s="9"/>
      <c r="H810" s="9"/>
      <c r="I810" s="12"/>
      <c r="J810" s="12"/>
      <c r="K810" s="12"/>
      <c r="L810" s="12"/>
    </row>
    <row r="811" spans="1:12" ht="13" x14ac:dyDescent="0.15">
      <c r="A811" s="7"/>
      <c r="B811" s="7"/>
      <c r="G811" s="9"/>
      <c r="H811" s="9"/>
      <c r="I811" s="12"/>
      <c r="J811" s="12"/>
      <c r="K811" s="12"/>
      <c r="L811" s="12"/>
    </row>
    <row r="812" spans="1:12" ht="13" x14ac:dyDescent="0.15">
      <c r="A812" s="7"/>
      <c r="B812" s="7"/>
      <c r="G812" s="9"/>
      <c r="H812" s="9"/>
      <c r="I812" s="12"/>
      <c r="J812" s="12"/>
      <c r="K812" s="12"/>
      <c r="L812" s="12"/>
    </row>
    <row r="813" spans="1:12" ht="13" x14ac:dyDescent="0.15">
      <c r="A813" s="7"/>
      <c r="B813" s="7"/>
      <c r="G813" s="9"/>
      <c r="H813" s="9"/>
      <c r="I813" s="12"/>
      <c r="J813" s="12"/>
      <c r="K813" s="12"/>
      <c r="L813" s="12"/>
    </row>
    <row r="814" spans="1:12" ht="13" x14ac:dyDescent="0.15">
      <c r="A814" s="7"/>
      <c r="B814" s="7"/>
      <c r="G814" s="9"/>
      <c r="H814" s="9"/>
      <c r="I814" s="12"/>
      <c r="J814" s="12"/>
      <c r="K814" s="12"/>
      <c r="L814" s="12"/>
    </row>
    <row r="815" spans="1:12" ht="13" x14ac:dyDescent="0.15">
      <c r="A815" s="7"/>
      <c r="B815" s="7"/>
      <c r="G815" s="9"/>
      <c r="H815" s="9"/>
      <c r="I815" s="12"/>
      <c r="J815" s="12"/>
      <c r="K815" s="12"/>
      <c r="L815" s="12"/>
    </row>
    <row r="816" spans="1:12" ht="13" x14ac:dyDescent="0.15">
      <c r="A816" s="7"/>
      <c r="B816" s="7"/>
      <c r="G816" s="9"/>
      <c r="H816" s="9"/>
      <c r="I816" s="12"/>
      <c r="J816" s="12"/>
      <c r="K816" s="12"/>
      <c r="L816" s="12"/>
    </row>
    <row r="817" spans="1:12" ht="13" x14ac:dyDescent="0.15">
      <c r="A817" s="7"/>
      <c r="B817" s="7"/>
      <c r="G817" s="9"/>
      <c r="H817" s="9"/>
      <c r="I817" s="12"/>
      <c r="J817" s="12"/>
      <c r="K817" s="12"/>
      <c r="L817" s="12"/>
    </row>
    <row r="818" spans="1:12" ht="13" x14ac:dyDescent="0.15">
      <c r="A818" s="7"/>
      <c r="B818" s="7"/>
      <c r="G818" s="9"/>
      <c r="H818" s="9"/>
      <c r="I818" s="12"/>
      <c r="J818" s="12"/>
      <c r="K818" s="12"/>
      <c r="L818" s="12"/>
    </row>
    <row r="819" spans="1:12" ht="13" x14ac:dyDescent="0.15">
      <c r="A819" s="7"/>
      <c r="B819" s="7"/>
      <c r="G819" s="9"/>
      <c r="H819" s="9"/>
      <c r="I819" s="12"/>
      <c r="J819" s="12"/>
      <c r="K819" s="12"/>
      <c r="L819" s="12"/>
    </row>
    <row r="820" spans="1:12" ht="13" x14ac:dyDescent="0.15">
      <c r="A820" s="7"/>
      <c r="B820" s="7"/>
      <c r="G820" s="9"/>
      <c r="H820" s="9"/>
      <c r="I820" s="12"/>
      <c r="J820" s="12"/>
      <c r="K820" s="12"/>
      <c r="L820" s="12"/>
    </row>
    <row r="821" spans="1:12" ht="13" x14ac:dyDescent="0.15">
      <c r="A821" s="7"/>
      <c r="B821" s="7"/>
      <c r="G821" s="9"/>
      <c r="H821" s="9"/>
      <c r="I821" s="12"/>
      <c r="J821" s="12"/>
      <c r="K821" s="12"/>
      <c r="L821" s="12"/>
    </row>
    <row r="822" spans="1:12" ht="13" x14ac:dyDescent="0.15">
      <c r="A822" s="7"/>
      <c r="B822" s="7"/>
      <c r="G822" s="9"/>
      <c r="H822" s="9"/>
      <c r="I822" s="12"/>
      <c r="J822" s="12"/>
      <c r="K822" s="12"/>
      <c r="L822" s="12"/>
    </row>
    <row r="823" spans="1:12" ht="13" x14ac:dyDescent="0.15">
      <c r="A823" s="7"/>
      <c r="B823" s="7"/>
      <c r="G823" s="9"/>
      <c r="H823" s="9"/>
      <c r="I823" s="12"/>
      <c r="J823" s="12"/>
      <c r="K823" s="12"/>
      <c r="L823" s="12"/>
    </row>
    <row r="824" spans="1:12" ht="13" x14ac:dyDescent="0.15">
      <c r="A824" s="7"/>
      <c r="B824" s="7"/>
      <c r="G824" s="9"/>
      <c r="H824" s="9"/>
      <c r="I824" s="12"/>
      <c r="J824" s="12"/>
      <c r="K824" s="12"/>
      <c r="L824" s="12"/>
    </row>
    <row r="825" spans="1:12" ht="13" x14ac:dyDescent="0.15">
      <c r="A825" s="7"/>
      <c r="B825" s="7"/>
      <c r="G825" s="9"/>
      <c r="H825" s="9"/>
      <c r="I825" s="12"/>
      <c r="J825" s="12"/>
      <c r="K825" s="12"/>
      <c r="L825" s="12"/>
    </row>
    <row r="826" spans="1:12" ht="13" x14ac:dyDescent="0.15">
      <c r="A826" s="7"/>
      <c r="B826" s="7"/>
      <c r="G826" s="9"/>
      <c r="H826" s="9"/>
      <c r="I826" s="12"/>
      <c r="J826" s="12"/>
      <c r="K826" s="12"/>
      <c r="L826" s="12"/>
    </row>
    <row r="827" spans="1:12" ht="13" x14ac:dyDescent="0.15">
      <c r="A827" s="7"/>
      <c r="B827" s="7"/>
      <c r="G827" s="9"/>
      <c r="H827" s="9"/>
      <c r="I827" s="12"/>
      <c r="J827" s="12"/>
      <c r="K827" s="12"/>
      <c r="L827" s="12"/>
    </row>
    <row r="828" spans="1:12" ht="13" x14ac:dyDescent="0.15">
      <c r="A828" s="7"/>
      <c r="B828" s="7"/>
      <c r="G828" s="9"/>
      <c r="H828" s="9"/>
      <c r="I828" s="12"/>
      <c r="J828" s="12"/>
      <c r="K828" s="12"/>
      <c r="L828" s="12"/>
    </row>
    <row r="829" spans="1:12" ht="13" x14ac:dyDescent="0.15">
      <c r="A829" s="7"/>
      <c r="B829" s="7"/>
      <c r="G829" s="9"/>
      <c r="H829" s="9"/>
      <c r="I829" s="12"/>
      <c r="J829" s="12"/>
      <c r="K829" s="12"/>
      <c r="L829" s="12"/>
    </row>
    <row r="830" spans="1:12" ht="13" x14ac:dyDescent="0.15">
      <c r="A830" s="7"/>
      <c r="B830" s="7"/>
      <c r="G830" s="9"/>
      <c r="H830" s="9"/>
      <c r="I830" s="12"/>
      <c r="J830" s="12"/>
      <c r="K830" s="12"/>
      <c r="L830" s="12"/>
    </row>
    <row r="831" spans="1:12" ht="13" x14ac:dyDescent="0.15">
      <c r="A831" s="7"/>
      <c r="B831" s="7"/>
      <c r="G831" s="9"/>
      <c r="H831" s="9"/>
      <c r="I831" s="12"/>
      <c r="J831" s="12"/>
      <c r="K831" s="12"/>
      <c r="L831" s="12"/>
    </row>
    <row r="832" spans="1:12" ht="13" x14ac:dyDescent="0.15">
      <c r="A832" s="7"/>
      <c r="B832" s="7"/>
      <c r="G832" s="9"/>
      <c r="H832" s="9"/>
      <c r="I832" s="12"/>
      <c r="J832" s="12"/>
      <c r="K832" s="12"/>
      <c r="L832" s="12"/>
    </row>
    <row r="833" spans="1:12" ht="13" x14ac:dyDescent="0.15">
      <c r="A833" s="7"/>
      <c r="B833" s="7"/>
      <c r="G833" s="9"/>
      <c r="H833" s="9"/>
      <c r="I833" s="12"/>
      <c r="J833" s="12"/>
      <c r="K833" s="12"/>
      <c r="L833" s="12"/>
    </row>
    <row r="834" spans="1:12" ht="13" x14ac:dyDescent="0.15">
      <c r="A834" s="7"/>
      <c r="B834" s="7"/>
      <c r="G834" s="9"/>
      <c r="H834" s="9"/>
      <c r="I834" s="12"/>
      <c r="J834" s="12"/>
      <c r="K834" s="12"/>
      <c r="L834" s="12"/>
    </row>
    <row r="835" spans="1:12" ht="13" x14ac:dyDescent="0.15">
      <c r="A835" s="7"/>
      <c r="B835" s="7"/>
      <c r="G835" s="9"/>
      <c r="H835" s="9"/>
      <c r="I835" s="12"/>
      <c r="J835" s="12"/>
      <c r="K835" s="12"/>
      <c r="L835" s="12"/>
    </row>
    <row r="836" spans="1:12" ht="13" x14ac:dyDescent="0.15">
      <c r="A836" s="7"/>
      <c r="B836" s="7"/>
      <c r="G836" s="9"/>
      <c r="H836" s="9"/>
      <c r="I836" s="12"/>
      <c r="J836" s="12"/>
      <c r="K836" s="12"/>
      <c r="L836" s="12"/>
    </row>
    <row r="837" spans="1:12" ht="13" x14ac:dyDescent="0.15">
      <c r="A837" s="7"/>
      <c r="B837" s="7"/>
      <c r="G837" s="9"/>
      <c r="H837" s="9"/>
      <c r="I837" s="12"/>
      <c r="J837" s="12"/>
      <c r="K837" s="12"/>
      <c r="L837" s="12"/>
    </row>
    <row r="838" spans="1:12" ht="13" x14ac:dyDescent="0.15">
      <c r="A838" s="7"/>
      <c r="B838" s="7"/>
      <c r="G838" s="9"/>
      <c r="H838" s="9"/>
      <c r="I838" s="12"/>
      <c r="J838" s="12"/>
      <c r="K838" s="12"/>
      <c r="L838" s="12"/>
    </row>
    <row r="839" spans="1:12" ht="13" x14ac:dyDescent="0.15">
      <c r="A839" s="7"/>
      <c r="B839" s="7"/>
      <c r="G839" s="9"/>
      <c r="H839" s="9"/>
      <c r="I839" s="12"/>
      <c r="J839" s="12"/>
      <c r="K839" s="12"/>
      <c r="L839" s="12"/>
    </row>
    <row r="840" spans="1:12" ht="13" x14ac:dyDescent="0.15">
      <c r="A840" s="7"/>
      <c r="B840" s="7"/>
      <c r="G840" s="9"/>
      <c r="H840" s="9"/>
      <c r="I840" s="12"/>
      <c r="J840" s="12"/>
      <c r="K840" s="12"/>
      <c r="L840" s="12"/>
    </row>
    <row r="841" spans="1:12" ht="13" x14ac:dyDescent="0.15">
      <c r="A841" s="7"/>
      <c r="B841" s="7"/>
      <c r="G841" s="9"/>
      <c r="H841" s="9"/>
      <c r="I841" s="12"/>
      <c r="J841" s="12"/>
      <c r="K841" s="12"/>
      <c r="L841" s="12"/>
    </row>
    <row r="842" spans="1:12" ht="13" x14ac:dyDescent="0.15">
      <c r="A842" s="7"/>
      <c r="B842" s="7"/>
      <c r="G842" s="9"/>
      <c r="H842" s="9"/>
      <c r="I842" s="12"/>
      <c r="J842" s="12"/>
      <c r="K842" s="12"/>
      <c r="L842" s="12"/>
    </row>
    <row r="843" spans="1:12" ht="13" x14ac:dyDescent="0.15">
      <c r="A843" s="7"/>
      <c r="B843" s="7"/>
      <c r="G843" s="9"/>
      <c r="H843" s="9"/>
      <c r="I843" s="12"/>
      <c r="J843" s="12"/>
      <c r="K843" s="12"/>
      <c r="L843" s="12"/>
    </row>
    <row r="844" spans="1:12" ht="13" x14ac:dyDescent="0.15">
      <c r="A844" s="7"/>
      <c r="B844" s="7"/>
      <c r="G844" s="9"/>
      <c r="H844" s="9"/>
      <c r="I844" s="12"/>
      <c r="J844" s="12"/>
      <c r="K844" s="12"/>
      <c r="L844" s="12"/>
    </row>
    <row r="845" spans="1:12" ht="13" x14ac:dyDescent="0.15">
      <c r="A845" s="7"/>
      <c r="B845" s="7"/>
      <c r="G845" s="9"/>
      <c r="H845" s="9"/>
      <c r="I845" s="12"/>
      <c r="J845" s="12"/>
      <c r="K845" s="12"/>
      <c r="L845" s="12"/>
    </row>
    <row r="846" spans="1:12" ht="13" x14ac:dyDescent="0.15">
      <c r="A846" s="7"/>
      <c r="B846" s="7"/>
      <c r="G846" s="9"/>
      <c r="H846" s="9"/>
      <c r="I846" s="12"/>
      <c r="J846" s="12"/>
      <c r="K846" s="12"/>
      <c r="L846" s="12"/>
    </row>
    <row r="847" spans="1:12" ht="13" x14ac:dyDescent="0.15">
      <c r="A847" s="7"/>
      <c r="B847" s="7"/>
      <c r="G847" s="9"/>
      <c r="H847" s="9"/>
      <c r="I847" s="12"/>
      <c r="J847" s="12"/>
      <c r="K847" s="12"/>
      <c r="L847" s="12"/>
    </row>
    <row r="848" spans="1:12" ht="13" x14ac:dyDescent="0.15">
      <c r="A848" s="7"/>
      <c r="B848" s="7"/>
      <c r="G848" s="9"/>
      <c r="H848" s="9"/>
      <c r="I848" s="12"/>
      <c r="J848" s="12"/>
      <c r="K848" s="12"/>
      <c r="L848" s="12"/>
    </row>
    <row r="849" spans="1:12" ht="13" x14ac:dyDescent="0.15">
      <c r="A849" s="7"/>
      <c r="B849" s="7"/>
      <c r="G849" s="9"/>
      <c r="H849" s="9"/>
      <c r="I849" s="12"/>
      <c r="J849" s="12"/>
      <c r="K849" s="12"/>
      <c r="L849" s="12"/>
    </row>
    <row r="850" spans="1:12" ht="13" x14ac:dyDescent="0.15">
      <c r="A850" s="7"/>
      <c r="B850" s="7"/>
      <c r="G850" s="9"/>
      <c r="H850" s="9"/>
      <c r="I850" s="12"/>
      <c r="J850" s="12"/>
      <c r="K850" s="12"/>
      <c r="L850" s="12"/>
    </row>
    <row r="851" spans="1:12" ht="13" x14ac:dyDescent="0.15">
      <c r="A851" s="7"/>
      <c r="B851" s="7"/>
      <c r="G851" s="9"/>
      <c r="H851" s="9"/>
      <c r="I851" s="12"/>
      <c r="J851" s="12"/>
      <c r="K851" s="12"/>
      <c r="L851" s="12"/>
    </row>
    <row r="852" spans="1:12" ht="13" x14ac:dyDescent="0.15">
      <c r="A852" s="7"/>
      <c r="B852" s="7"/>
      <c r="G852" s="9"/>
      <c r="H852" s="9"/>
      <c r="I852" s="12"/>
      <c r="J852" s="12"/>
      <c r="K852" s="12"/>
      <c r="L852" s="12"/>
    </row>
    <row r="853" spans="1:12" ht="13" x14ac:dyDescent="0.15">
      <c r="A853" s="7"/>
      <c r="B853" s="7"/>
      <c r="G853" s="9"/>
      <c r="H853" s="9"/>
      <c r="I853" s="12"/>
      <c r="J853" s="12"/>
      <c r="K853" s="12"/>
      <c r="L853" s="12"/>
    </row>
    <row r="854" spans="1:12" ht="13" x14ac:dyDescent="0.15">
      <c r="A854" s="7"/>
      <c r="B854" s="7"/>
      <c r="G854" s="9"/>
      <c r="H854" s="9"/>
      <c r="I854" s="12"/>
      <c r="J854" s="12"/>
      <c r="K854" s="12"/>
      <c r="L854" s="12"/>
    </row>
    <row r="855" spans="1:12" ht="13" x14ac:dyDescent="0.15">
      <c r="A855" s="7"/>
      <c r="B855" s="7"/>
      <c r="G855" s="9"/>
      <c r="H855" s="9"/>
      <c r="I855" s="12"/>
      <c r="J855" s="12"/>
      <c r="K855" s="12"/>
      <c r="L855" s="12"/>
    </row>
    <row r="856" spans="1:12" ht="13" x14ac:dyDescent="0.15">
      <c r="A856" s="7"/>
      <c r="B856" s="7"/>
      <c r="G856" s="9"/>
      <c r="H856" s="9"/>
      <c r="I856" s="12"/>
      <c r="J856" s="12"/>
      <c r="K856" s="12"/>
      <c r="L856" s="12"/>
    </row>
    <row r="857" spans="1:12" ht="13" x14ac:dyDescent="0.15">
      <c r="A857" s="7"/>
      <c r="B857" s="7"/>
      <c r="G857" s="9"/>
      <c r="H857" s="9"/>
      <c r="I857" s="12"/>
      <c r="J857" s="12"/>
      <c r="K857" s="12"/>
      <c r="L857" s="12"/>
    </row>
    <row r="858" spans="1:12" ht="13" x14ac:dyDescent="0.15">
      <c r="A858" s="7"/>
      <c r="B858" s="7"/>
      <c r="G858" s="9"/>
      <c r="H858" s="9"/>
      <c r="I858" s="12"/>
      <c r="J858" s="12"/>
      <c r="K858" s="12"/>
      <c r="L858" s="12"/>
    </row>
    <row r="859" spans="1:12" ht="13" x14ac:dyDescent="0.15">
      <c r="A859" s="7"/>
      <c r="B859" s="7"/>
      <c r="G859" s="9"/>
      <c r="H859" s="9"/>
      <c r="I859" s="12"/>
      <c r="J859" s="12"/>
      <c r="K859" s="12"/>
      <c r="L859" s="12"/>
    </row>
    <row r="860" spans="1:12" ht="13" x14ac:dyDescent="0.15">
      <c r="A860" s="7"/>
      <c r="B860" s="7"/>
      <c r="G860" s="9"/>
      <c r="H860" s="9"/>
      <c r="I860" s="12"/>
      <c r="J860" s="12"/>
      <c r="K860" s="12"/>
      <c r="L860" s="12"/>
    </row>
    <row r="861" spans="1:12" ht="13" x14ac:dyDescent="0.15">
      <c r="A861" s="7"/>
      <c r="B861" s="7"/>
      <c r="G861" s="9"/>
      <c r="H861" s="9"/>
      <c r="I861" s="12"/>
      <c r="J861" s="12"/>
      <c r="K861" s="12"/>
      <c r="L861" s="12"/>
    </row>
    <row r="862" spans="1:12" ht="13" x14ac:dyDescent="0.15">
      <c r="A862" s="7"/>
      <c r="B862" s="7"/>
      <c r="G862" s="9"/>
      <c r="H862" s="9"/>
      <c r="I862" s="12"/>
      <c r="J862" s="12"/>
      <c r="K862" s="12"/>
      <c r="L862" s="12"/>
    </row>
    <row r="863" spans="1:12" ht="13" x14ac:dyDescent="0.15">
      <c r="A863" s="7"/>
      <c r="B863" s="7"/>
      <c r="G863" s="9"/>
      <c r="H863" s="9"/>
      <c r="I863" s="12"/>
      <c r="J863" s="12"/>
      <c r="K863" s="12"/>
      <c r="L863" s="12"/>
    </row>
    <row r="864" spans="1:12" ht="13" x14ac:dyDescent="0.15">
      <c r="A864" s="7"/>
      <c r="B864" s="7"/>
      <c r="G864" s="9"/>
      <c r="H864" s="9"/>
      <c r="I864" s="12"/>
      <c r="J864" s="12"/>
      <c r="K864" s="12"/>
      <c r="L864" s="12"/>
    </row>
    <row r="865" spans="1:12" ht="13" x14ac:dyDescent="0.15">
      <c r="A865" s="7"/>
      <c r="B865" s="7"/>
      <c r="G865" s="9"/>
      <c r="H865" s="9"/>
      <c r="I865" s="12"/>
      <c r="J865" s="12"/>
      <c r="K865" s="12"/>
      <c r="L865" s="12"/>
    </row>
    <row r="866" spans="1:12" ht="13" x14ac:dyDescent="0.15">
      <c r="A866" s="7"/>
      <c r="B866" s="7"/>
      <c r="G866" s="9"/>
      <c r="H866" s="9"/>
      <c r="I866" s="12"/>
      <c r="J866" s="12"/>
      <c r="K866" s="12"/>
      <c r="L866" s="12"/>
    </row>
    <row r="867" spans="1:12" ht="13" x14ac:dyDescent="0.15">
      <c r="A867" s="7"/>
      <c r="B867" s="7"/>
      <c r="G867" s="9"/>
      <c r="H867" s="9"/>
      <c r="I867" s="12"/>
      <c r="J867" s="12"/>
      <c r="K867" s="12"/>
      <c r="L867" s="12"/>
    </row>
    <row r="868" spans="1:12" ht="13" x14ac:dyDescent="0.15">
      <c r="A868" s="7"/>
      <c r="B868" s="7"/>
      <c r="G868" s="9"/>
      <c r="H868" s="9"/>
      <c r="I868" s="12"/>
      <c r="J868" s="12"/>
      <c r="K868" s="12"/>
      <c r="L868" s="12"/>
    </row>
    <row r="869" spans="1:12" ht="13" x14ac:dyDescent="0.15">
      <c r="A869" s="7"/>
      <c r="B869" s="7"/>
      <c r="G869" s="9"/>
      <c r="H869" s="9"/>
      <c r="I869" s="12"/>
      <c r="J869" s="12"/>
      <c r="K869" s="12"/>
      <c r="L869" s="12"/>
    </row>
    <row r="870" spans="1:12" ht="13" x14ac:dyDescent="0.15">
      <c r="A870" s="7"/>
      <c r="B870" s="7"/>
      <c r="G870" s="9"/>
      <c r="H870" s="9"/>
      <c r="I870" s="12"/>
      <c r="J870" s="12"/>
      <c r="K870" s="12"/>
      <c r="L870" s="12"/>
    </row>
    <row r="871" spans="1:12" ht="13" x14ac:dyDescent="0.15">
      <c r="A871" s="7"/>
      <c r="B871" s="7"/>
      <c r="G871" s="9"/>
      <c r="H871" s="9"/>
      <c r="I871" s="12"/>
      <c r="J871" s="12"/>
      <c r="K871" s="12"/>
      <c r="L871" s="12"/>
    </row>
    <row r="872" spans="1:12" ht="13" x14ac:dyDescent="0.15">
      <c r="A872" s="7"/>
      <c r="B872" s="7"/>
      <c r="G872" s="9"/>
      <c r="H872" s="9"/>
      <c r="I872" s="12"/>
      <c r="J872" s="12"/>
      <c r="K872" s="12"/>
      <c r="L872" s="12"/>
    </row>
    <row r="873" spans="1:12" ht="13" x14ac:dyDescent="0.15">
      <c r="A873" s="7"/>
      <c r="B873" s="7"/>
      <c r="G873" s="9"/>
      <c r="H873" s="9"/>
      <c r="I873" s="12"/>
      <c r="J873" s="12"/>
      <c r="K873" s="12"/>
      <c r="L873" s="12"/>
    </row>
    <row r="874" spans="1:12" ht="13" x14ac:dyDescent="0.15">
      <c r="A874" s="7"/>
      <c r="B874" s="7"/>
      <c r="G874" s="9"/>
      <c r="H874" s="9"/>
      <c r="I874" s="12"/>
      <c r="J874" s="12"/>
      <c r="K874" s="12"/>
      <c r="L874" s="12"/>
    </row>
    <row r="875" spans="1:12" ht="13" x14ac:dyDescent="0.15">
      <c r="A875" s="7"/>
      <c r="B875" s="7"/>
      <c r="G875" s="9"/>
      <c r="H875" s="9"/>
      <c r="I875" s="12"/>
      <c r="J875" s="12"/>
      <c r="K875" s="12"/>
      <c r="L875" s="12"/>
    </row>
    <row r="876" spans="1:12" ht="13" x14ac:dyDescent="0.15">
      <c r="A876" s="7"/>
      <c r="B876" s="7"/>
      <c r="G876" s="9"/>
      <c r="H876" s="9"/>
      <c r="I876" s="12"/>
      <c r="J876" s="12"/>
      <c r="K876" s="12"/>
      <c r="L876" s="12"/>
    </row>
    <row r="877" spans="1:12" ht="13" x14ac:dyDescent="0.15">
      <c r="A877" s="7"/>
      <c r="B877" s="7"/>
      <c r="G877" s="9"/>
      <c r="H877" s="9"/>
      <c r="I877" s="12"/>
      <c r="J877" s="12"/>
      <c r="K877" s="12"/>
      <c r="L877" s="12"/>
    </row>
    <row r="878" spans="1:12" ht="13" x14ac:dyDescent="0.15">
      <c r="A878" s="7"/>
      <c r="B878" s="7"/>
      <c r="G878" s="9"/>
      <c r="H878" s="9"/>
      <c r="I878" s="12"/>
      <c r="J878" s="12"/>
      <c r="K878" s="12"/>
      <c r="L878" s="12"/>
    </row>
    <row r="879" spans="1:12" ht="13" x14ac:dyDescent="0.15">
      <c r="A879" s="7"/>
      <c r="B879" s="7"/>
      <c r="G879" s="9"/>
      <c r="H879" s="9"/>
      <c r="I879" s="12"/>
      <c r="J879" s="12"/>
      <c r="K879" s="12"/>
      <c r="L879" s="12"/>
    </row>
    <row r="880" spans="1:12" ht="13" x14ac:dyDescent="0.15">
      <c r="A880" s="7"/>
      <c r="B880" s="7"/>
      <c r="G880" s="9"/>
      <c r="H880" s="9"/>
      <c r="I880" s="12"/>
      <c r="J880" s="12"/>
      <c r="K880" s="12"/>
      <c r="L880" s="12"/>
    </row>
    <row r="881" spans="1:12" ht="13" x14ac:dyDescent="0.15">
      <c r="A881" s="7"/>
      <c r="B881" s="7"/>
      <c r="G881" s="9"/>
      <c r="H881" s="9"/>
      <c r="I881" s="12"/>
      <c r="J881" s="12"/>
      <c r="K881" s="12"/>
      <c r="L881" s="12"/>
    </row>
    <row r="882" spans="1:12" ht="13" x14ac:dyDescent="0.15">
      <c r="A882" s="7"/>
      <c r="B882" s="7"/>
      <c r="G882" s="9"/>
      <c r="H882" s="9"/>
      <c r="I882" s="12"/>
      <c r="J882" s="12"/>
      <c r="K882" s="12"/>
      <c r="L882" s="12"/>
    </row>
    <row r="883" spans="1:12" ht="13" x14ac:dyDescent="0.15">
      <c r="A883" s="7"/>
      <c r="B883" s="7"/>
      <c r="G883" s="9"/>
      <c r="H883" s="9"/>
      <c r="I883" s="12"/>
      <c r="J883" s="12"/>
      <c r="K883" s="12"/>
      <c r="L883" s="12"/>
    </row>
    <row r="884" spans="1:12" ht="13" x14ac:dyDescent="0.15">
      <c r="A884" s="7"/>
      <c r="B884" s="7"/>
      <c r="G884" s="9"/>
      <c r="H884" s="9"/>
      <c r="I884" s="12"/>
      <c r="J884" s="12"/>
      <c r="K884" s="12"/>
      <c r="L884" s="12"/>
    </row>
    <row r="885" spans="1:12" ht="13" x14ac:dyDescent="0.15">
      <c r="A885" s="7"/>
      <c r="B885" s="7"/>
      <c r="G885" s="9"/>
      <c r="H885" s="9"/>
      <c r="I885" s="12"/>
      <c r="J885" s="12"/>
      <c r="K885" s="12"/>
      <c r="L885" s="12"/>
    </row>
    <row r="886" spans="1:12" ht="13" x14ac:dyDescent="0.15">
      <c r="A886" s="7"/>
      <c r="B886" s="7"/>
      <c r="G886" s="9"/>
      <c r="H886" s="9"/>
      <c r="I886" s="12"/>
      <c r="J886" s="12"/>
      <c r="K886" s="12"/>
      <c r="L886" s="12"/>
    </row>
    <row r="887" spans="1:12" ht="13" x14ac:dyDescent="0.15">
      <c r="A887" s="7"/>
      <c r="B887" s="7"/>
      <c r="G887" s="9"/>
      <c r="H887" s="9"/>
      <c r="I887" s="12"/>
      <c r="J887" s="12"/>
      <c r="K887" s="12"/>
      <c r="L887" s="12"/>
    </row>
    <row r="888" spans="1:12" ht="13" x14ac:dyDescent="0.15">
      <c r="A888" s="7"/>
      <c r="B888" s="7"/>
      <c r="G888" s="9"/>
      <c r="H888" s="9"/>
      <c r="I888" s="12"/>
      <c r="J888" s="12"/>
      <c r="K888" s="12"/>
      <c r="L888" s="12"/>
    </row>
    <row r="889" spans="1:12" ht="13" x14ac:dyDescent="0.15">
      <c r="A889" s="7"/>
      <c r="B889" s="7"/>
      <c r="G889" s="9"/>
      <c r="H889" s="9"/>
      <c r="I889" s="12"/>
      <c r="J889" s="12"/>
      <c r="K889" s="12"/>
      <c r="L889" s="12"/>
    </row>
    <row r="890" spans="1:12" ht="13" x14ac:dyDescent="0.15">
      <c r="A890" s="7"/>
      <c r="B890" s="7"/>
      <c r="G890" s="9"/>
      <c r="H890" s="9"/>
      <c r="I890" s="12"/>
      <c r="J890" s="12"/>
      <c r="K890" s="12"/>
      <c r="L890" s="12"/>
    </row>
    <row r="891" spans="1:12" ht="13" x14ac:dyDescent="0.15">
      <c r="A891" s="7"/>
      <c r="B891" s="7"/>
      <c r="G891" s="9"/>
      <c r="H891" s="9"/>
      <c r="I891" s="12"/>
      <c r="J891" s="12"/>
      <c r="K891" s="12"/>
      <c r="L891" s="12"/>
    </row>
    <row r="892" spans="1:12" ht="13" x14ac:dyDescent="0.15">
      <c r="A892" s="7"/>
      <c r="B892" s="7"/>
      <c r="G892" s="9"/>
      <c r="H892" s="9"/>
      <c r="I892" s="12"/>
      <c r="J892" s="12"/>
      <c r="K892" s="12"/>
      <c r="L892" s="12"/>
    </row>
    <row r="893" spans="1:12" ht="13" x14ac:dyDescent="0.15">
      <c r="A893" s="7"/>
      <c r="B893" s="7"/>
      <c r="G893" s="9"/>
      <c r="H893" s="9"/>
      <c r="I893" s="12"/>
      <c r="J893" s="12"/>
      <c r="K893" s="12"/>
      <c r="L893" s="12"/>
    </row>
    <row r="894" spans="1:12" ht="13" x14ac:dyDescent="0.15">
      <c r="A894" s="7"/>
      <c r="B894" s="7"/>
      <c r="G894" s="9"/>
      <c r="H894" s="9"/>
      <c r="I894" s="12"/>
      <c r="J894" s="12"/>
      <c r="K894" s="12"/>
      <c r="L894" s="12"/>
    </row>
    <row r="895" spans="1:12" ht="13" x14ac:dyDescent="0.15">
      <c r="A895" s="7"/>
      <c r="B895" s="7"/>
      <c r="G895" s="9"/>
      <c r="H895" s="9"/>
      <c r="I895" s="12"/>
      <c r="J895" s="12"/>
      <c r="K895" s="12"/>
      <c r="L895" s="12"/>
    </row>
    <row r="896" spans="1:12" ht="13" x14ac:dyDescent="0.15">
      <c r="A896" s="7"/>
      <c r="B896" s="7"/>
      <c r="G896" s="9"/>
      <c r="H896" s="9"/>
      <c r="I896" s="12"/>
      <c r="J896" s="12"/>
      <c r="K896" s="12"/>
      <c r="L896" s="12"/>
    </row>
    <row r="897" spans="1:12" ht="13" x14ac:dyDescent="0.15">
      <c r="A897" s="7"/>
      <c r="B897" s="7"/>
      <c r="G897" s="9"/>
      <c r="H897" s="9"/>
      <c r="I897" s="12"/>
      <c r="J897" s="12"/>
      <c r="K897" s="12"/>
      <c r="L897" s="12"/>
    </row>
    <row r="898" spans="1:12" ht="13" x14ac:dyDescent="0.15">
      <c r="A898" s="7"/>
      <c r="B898" s="7"/>
      <c r="G898" s="9"/>
      <c r="H898" s="9"/>
      <c r="I898" s="12"/>
      <c r="J898" s="12"/>
      <c r="K898" s="12"/>
      <c r="L898" s="12"/>
    </row>
    <row r="899" spans="1:12" ht="13" x14ac:dyDescent="0.15">
      <c r="A899" s="7"/>
      <c r="B899" s="7"/>
      <c r="G899" s="9"/>
      <c r="H899" s="9"/>
      <c r="I899" s="12"/>
      <c r="J899" s="12"/>
      <c r="K899" s="12"/>
      <c r="L899" s="12"/>
    </row>
    <row r="900" spans="1:12" ht="13" x14ac:dyDescent="0.15">
      <c r="A900" s="7"/>
      <c r="B900" s="7"/>
      <c r="G900" s="9"/>
      <c r="H900" s="9"/>
      <c r="I900" s="12"/>
      <c r="J900" s="12"/>
      <c r="K900" s="12"/>
      <c r="L900" s="12"/>
    </row>
    <row r="901" spans="1:12" ht="13" x14ac:dyDescent="0.15">
      <c r="A901" s="7"/>
      <c r="B901" s="7"/>
      <c r="G901" s="9"/>
      <c r="H901" s="9"/>
      <c r="I901" s="12"/>
      <c r="J901" s="12"/>
      <c r="K901" s="12"/>
      <c r="L901" s="12"/>
    </row>
    <row r="902" spans="1:12" ht="13" x14ac:dyDescent="0.15">
      <c r="A902" s="7"/>
      <c r="B902" s="7"/>
      <c r="G902" s="9"/>
      <c r="H902" s="9"/>
      <c r="I902" s="12"/>
      <c r="J902" s="12"/>
      <c r="K902" s="12"/>
      <c r="L902" s="12"/>
    </row>
    <row r="903" spans="1:12" ht="13" x14ac:dyDescent="0.15">
      <c r="A903" s="7"/>
      <c r="B903" s="7"/>
      <c r="G903" s="9"/>
      <c r="H903" s="9"/>
      <c r="I903" s="12"/>
      <c r="J903" s="12"/>
      <c r="K903" s="12"/>
      <c r="L903" s="12"/>
    </row>
    <row r="904" spans="1:12" ht="13" x14ac:dyDescent="0.15">
      <c r="A904" s="7"/>
      <c r="B904" s="7"/>
      <c r="G904" s="9"/>
      <c r="H904" s="9"/>
      <c r="I904" s="12"/>
      <c r="J904" s="12"/>
      <c r="K904" s="12"/>
      <c r="L904" s="12"/>
    </row>
    <row r="905" spans="1:12" ht="13" x14ac:dyDescent="0.15">
      <c r="A905" s="7"/>
      <c r="B905" s="7"/>
      <c r="G905" s="9"/>
      <c r="H905" s="9"/>
      <c r="I905" s="12"/>
      <c r="J905" s="12"/>
      <c r="K905" s="12"/>
      <c r="L905" s="12"/>
    </row>
    <row r="906" spans="1:12" ht="13" x14ac:dyDescent="0.15">
      <c r="A906" s="7"/>
      <c r="B906" s="7"/>
      <c r="G906" s="9"/>
      <c r="H906" s="9"/>
      <c r="I906" s="12"/>
      <c r="J906" s="12"/>
      <c r="K906" s="12"/>
      <c r="L906" s="12"/>
    </row>
    <row r="907" spans="1:12" ht="13" x14ac:dyDescent="0.15">
      <c r="A907" s="7"/>
      <c r="B907" s="7"/>
      <c r="G907" s="9"/>
      <c r="H907" s="9"/>
      <c r="I907" s="12"/>
      <c r="J907" s="12"/>
      <c r="K907" s="12"/>
      <c r="L907" s="12"/>
    </row>
    <row r="908" spans="1:12" ht="13" x14ac:dyDescent="0.15">
      <c r="A908" s="7"/>
      <c r="B908" s="7"/>
      <c r="G908" s="9"/>
      <c r="H908" s="9"/>
      <c r="I908" s="12"/>
      <c r="J908" s="12"/>
      <c r="K908" s="12"/>
      <c r="L908" s="12"/>
    </row>
    <row r="909" spans="1:12" ht="13" x14ac:dyDescent="0.15">
      <c r="A909" s="7"/>
      <c r="B909" s="7"/>
      <c r="G909" s="9"/>
      <c r="H909" s="9"/>
      <c r="I909" s="12"/>
      <c r="J909" s="12"/>
      <c r="K909" s="12"/>
      <c r="L909" s="12"/>
    </row>
    <row r="910" spans="1:12" ht="13" x14ac:dyDescent="0.15">
      <c r="A910" s="7"/>
      <c r="B910" s="7"/>
      <c r="G910" s="9"/>
      <c r="H910" s="9"/>
      <c r="I910" s="12"/>
      <c r="J910" s="12"/>
      <c r="K910" s="12"/>
      <c r="L910" s="12"/>
    </row>
    <row r="911" spans="1:12" ht="13" x14ac:dyDescent="0.15">
      <c r="A911" s="7"/>
      <c r="B911" s="7"/>
      <c r="G911" s="9"/>
      <c r="H911" s="9"/>
      <c r="I911" s="12"/>
      <c r="J911" s="12"/>
      <c r="K911" s="12"/>
      <c r="L911" s="12"/>
    </row>
    <row r="912" spans="1:12" ht="13" x14ac:dyDescent="0.15">
      <c r="A912" s="7"/>
      <c r="B912" s="7"/>
      <c r="G912" s="9"/>
      <c r="H912" s="9"/>
      <c r="I912" s="12"/>
      <c r="J912" s="12"/>
      <c r="K912" s="12"/>
      <c r="L912" s="12"/>
    </row>
    <row r="913" spans="1:12" ht="13" x14ac:dyDescent="0.15">
      <c r="A913" s="7"/>
      <c r="B913" s="7"/>
      <c r="G913" s="9"/>
      <c r="H913" s="9"/>
      <c r="I913" s="12"/>
      <c r="J913" s="12"/>
      <c r="K913" s="12"/>
      <c r="L913" s="12"/>
    </row>
    <row r="914" spans="1:12" ht="13" x14ac:dyDescent="0.15">
      <c r="A914" s="7"/>
      <c r="B914" s="7"/>
      <c r="G914" s="9"/>
      <c r="H914" s="9"/>
      <c r="I914" s="12"/>
      <c r="J914" s="12"/>
      <c r="K914" s="12"/>
      <c r="L914" s="12"/>
    </row>
    <row r="915" spans="1:12" ht="13" x14ac:dyDescent="0.15">
      <c r="A915" s="7"/>
      <c r="B915" s="7"/>
      <c r="G915" s="9"/>
      <c r="H915" s="9"/>
      <c r="I915" s="12"/>
      <c r="J915" s="12"/>
      <c r="K915" s="12"/>
      <c r="L915" s="12"/>
    </row>
    <row r="916" spans="1:12" ht="13" x14ac:dyDescent="0.15">
      <c r="A916" s="7"/>
      <c r="B916" s="7"/>
      <c r="G916" s="9"/>
      <c r="H916" s="9"/>
      <c r="I916" s="12"/>
      <c r="J916" s="12"/>
      <c r="K916" s="12"/>
      <c r="L916" s="12"/>
    </row>
    <row r="917" spans="1:12" ht="13" x14ac:dyDescent="0.15">
      <c r="A917" s="7"/>
      <c r="B917" s="7"/>
      <c r="G917" s="9"/>
      <c r="H917" s="9"/>
      <c r="I917" s="12"/>
      <c r="J917" s="12"/>
      <c r="K917" s="12"/>
      <c r="L917" s="12"/>
    </row>
    <row r="918" spans="1:12" ht="13" x14ac:dyDescent="0.15">
      <c r="A918" s="7"/>
      <c r="B918" s="7"/>
      <c r="G918" s="9"/>
      <c r="H918" s="9"/>
      <c r="I918" s="12"/>
      <c r="J918" s="12"/>
      <c r="K918" s="12"/>
      <c r="L918" s="12"/>
    </row>
    <row r="919" spans="1:12" ht="13" x14ac:dyDescent="0.15">
      <c r="A919" s="7"/>
      <c r="B919" s="7"/>
      <c r="G919" s="9"/>
      <c r="H919" s="9"/>
      <c r="I919" s="12"/>
      <c r="J919" s="12"/>
      <c r="K919" s="12"/>
      <c r="L919" s="12"/>
    </row>
    <row r="920" spans="1:12" ht="13" x14ac:dyDescent="0.15">
      <c r="A920" s="7"/>
      <c r="B920" s="7"/>
      <c r="G920" s="9"/>
      <c r="H920" s="9"/>
      <c r="I920" s="12"/>
      <c r="J920" s="12"/>
      <c r="K920" s="12"/>
      <c r="L920" s="12"/>
    </row>
    <row r="921" spans="1:12" ht="13" x14ac:dyDescent="0.15">
      <c r="A921" s="7"/>
      <c r="B921" s="7"/>
      <c r="G921" s="9"/>
      <c r="H921" s="9"/>
      <c r="I921" s="12"/>
      <c r="J921" s="12"/>
      <c r="K921" s="12"/>
      <c r="L921" s="12"/>
    </row>
    <row r="922" spans="1:12" ht="13" x14ac:dyDescent="0.15">
      <c r="A922" s="7"/>
      <c r="B922" s="7"/>
      <c r="G922" s="9"/>
      <c r="H922" s="9"/>
      <c r="I922" s="12"/>
      <c r="J922" s="12"/>
      <c r="K922" s="12"/>
      <c r="L922" s="12"/>
    </row>
    <row r="923" spans="1:12" ht="13" x14ac:dyDescent="0.15">
      <c r="A923" s="7"/>
      <c r="B923" s="7"/>
      <c r="G923" s="9"/>
      <c r="H923" s="9"/>
      <c r="I923" s="12"/>
      <c r="J923" s="12"/>
      <c r="K923" s="12"/>
      <c r="L923" s="12"/>
    </row>
    <row r="924" spans="1:12" ht="13" x14ac:dyDescent="0.15">
      <c r="A924" s="7"/>
      <c r="B924" s="7"/>
      <c r="G924" s="9"/>
      <c r="H924" s="9"/>
      <c r="I924" s="12"/>
      <c r="J924" s="12"/>
      <c r="K924" s="12"/>
      <c r="L924" s="12"/>
    </row>
    <row r="925" spans="1:12" ht="13" x14ac:dyDescent="0.15">
      <c r="A925" s="7"/>
      <c r="B925" s="7"/>
      <c r="G925" s="9"/>
      <c r="H925" s="9"/>
      <c r="I925" s="12"/>
      <c r="J925" s="12"/>
      <c r="K925" s="12"/>
      <c r="L925" s="12"/>
    </row>
    <row r="926" spans="1:12" ht="13" x14ac:dyDescent="0.15">
      <c r="A926" s="7"/>
      <c r="B926" s="7"/>
      <c r="G926" s="9"/>
      <c r="H926" s="9"/>
      <c r="I926" s="12"/>
      <c r="J926" s="12"/>
      <c r="K926" s="12"/>
      <c r="L926" s="12"/>
    </row>
    <row r="927" spans="1:12" ht="13" x14ac:dyDescent="0.15">
      <c r="A927" s="7"/>
      <c r="B927" s="7"/>
      <c r="G927" s="9"/>
      <c r="H927" s="9"/>
      <c r="I927" s="12"/>
      <c r="J927" s="12"/>
      <c r="K927" s="12"/>
      <c r="L927" s="12"/>
    </row>
    <row r="928" spans="1:12" ht="13" x14ac:dyDescent="0.15">
      <c r="A928" s="7"/>
      <c r="B928" s="7"/>
      <c r="G928" s="9"/>
      <c r="H928" s="9"/>
      <c r="I928" s="12"/>
      <c r="J928" s="12"/>
      <c r="K928" s="12"/>
      <c r="L928" s="12"/>
    </row>
    <row r="929" spans="1:12" ht="13" x14ac:dyDescent="0.15">
      <c r="A929" s="7"/>
      <c r="B929" s="7"/>
      <c r="G929" s="9"/>
      <c r="H929" s="9"/>
      <c r="I929" s="12"/>
      <c r="J929" s="12"/>
      <c r="K929" s="12"/>
      <c r="L929" s="12"/>
    </row>
    <row r="930" spans="1:12" ht="13" x14ac:dyDescent="0.15">
      <c r="A930" s="7"/>
      <c r="B930" s="7"/>
      <c r="G930" s="9"/>
      <c r="H930" s="9"/>
      <c r="I930" s="12"/>
      <c r="J930" s="12"/>
      <c r="K930" s="12"/>
      <c r="L930" s="12"/>
    </row>
    <row r="931" spans="1:12" ht="13" x14ac:dyDescent="0.15">
      <c r="A931" s="7"/>
      <c r="B931" s="7"/>
      <c r="G931" s="9"/>
      <c r="H931" s="9"/>
      <c r="I931" s="12"/>
      <c r="J931" s="12"/>
      <c r="K931" s="12"/>
      <c r="L931" s="12"/>
    </row>
    <row r="932" spans="1:12" ht="13" x14ac:dyDescent="0.15">
      <c r="A932" s="7"/>
      <c r="B932" s="7"/>
      <c r="G932" s="9"/>
      <c r="H932" s="9"/>
      <c r="I932" s="12"/>
      <c r="J932" s="12"/>
      <c r="K932" s="12"/>
      <c r="L932" s="12"/>
    </row>
    <row r="933" spans="1:12" ht="13" x14ac:dyDescent="0.15">
      <c r="A933" s="7"/>
      <c r="B933" s="7"/>
      <c r="G933" s="9"/>
      <c r="H933" s="9"/>
      <c r="I933" s="12"/>
      <c r="J933" s="12"/>
      <c r="K933" s="12"/>
      <c r="L933" s="12"/>
    </row>
    <row r="934" spans="1:12" ht="13" x14ac:dyDescent="0.15">
      <c r="A934" s="7"/>
      <c r="B934" s="7"/>
      <c r="G934" s="9"/>
      <c r="H934" s="9"/>
      <c r="I934" s="12"/>
      <c r="J934" s="12"/>
      <c r="K934" s="12"/>
      <c r="L934" s="12"/>
    </row>
    <row r="935" spans="1:12" ht="13" x14ac:dyDescent="0.15">
      <c r="A935" s="7"/>
      <c r="B935" s="7"/>
      <c r="G935" s="9"/>
      <c r="H935" s="9"/>
      <c r="I935" s="12"/>
      <c r="J935" s="12"/>
      <c r="K935" s="12"/>
      <c r="L935" s="12"/>
    </row>
    <row r="936" spans="1:12" ht="13" x14ac:dyDescent="0.15">
      <c r="A936" s="7"/>
      <c r="B936" s="7"/>
      <c r="G936" s="9"/>
      <c r="H936" s="9"/>
      <c r="I936" s="12"/>
      <c r="J936" s="12"/>
      <c r="K936" s="12"/>
      <c r="L936" s="12"/>
    </row>
    <row r="937" spans="1:12" ht="13" x14ac:dyDescent="0.15">
      <c r="A937" s="7"/>
      <c r="B937" s="7"/>
      <c r="G937" s="9"/>
      <c r="H937" s="9"/>
      <c r="I937" s="12"/>
      <c r="J937" s="12"/>
      <c r="K937" s="12"/>
      <c r="L937" s="12"/>
    </row>
    <row r="938" spans="1:12" ht="13" x14ac:dyDescent="0.15">
      <c r="A938" s="7"/>
      <c r="B938" s="7"/>
      <c r="G938" s="9"/>
      <c r="H938" s="9"/>
      <c r="I938" s="12"/>
      <c r="J938" s="12"/>
      <c r="K938" s="12"/>
      <c r="L938" s="12"/>
    </row>
    <row r="939" spans="1:12" ht="13" x14ac:dyDescent="0.15">
      <c r="A939" s="7"/>
      <c r="B939" s="7"/>
      <c r="G939" s="9"/>
      <c r="H939" s="9"/>
      <c r="I939" s="12"/>
      <c r="J939" s="12"/>
      <c r="K939" s="12"/>
      <c r="L939" s="12"/>
    </row>
    <row r="940" spans="1:12" ht="13" x14ac:dyDescent="0.15">
      <c r="A940" s="7"/>
      <c r="B940" s="7"/>
      <c r="G940" s="9"/>
      <c r="H940" s="9"/>
      <c r="I940" s="12"/>
      <c r="J940" s="12"/>
      <c r="K940" s="12"/>
      <c r="L940" s="12"/>
    </row>
    <row r="941" spans="1:12" ht="13" x14ac:dyDescent="0.15">
      <c r="A941" s="7"/>
      <c r="B941" s="7"/>
      <c r="G941" s="9"/>
      <c r="H941" s="9"/>
      <c r="I941" s="12"/>
      <c r="J941" s="12"/>
      <c r="K941" s="12"/>
      <c r="L941" s="12"/>
    </row>
    <row r="942" spans="1:12" ht="13" x14ac:dyDescent="0.15">
      <c r="A942" s="7"/>
      <c r="B942" s="7"/>
      <c r="G942" s="9"/>
      <c r="H942" s="9"/>
      <c r="I942" s="12"/>
      <c r="J942" s="12"/>
      <c r="K942" s="12"/>
      <c r="L942" s="12"/>
    </row>
    <row r="943" spans="1:12" ht="13" x14ac:dyDescent="0.15">
      <c r="A943" s="7"/>
      <c r="B943" s="7"/>
      <c r="G943" s="9"/>
      <c r="H943" s="9"/>
      <c r="I943" s="12"/>
      <c r="J943" s="12"/>
      <c r="K943" s="12"/>
      <c r="L943" s="12"/>
    </row>
    <row r="944" spans="1:12" ht="13" x14ac:dyDescent="0.15">
      <c r="A944" s="7"/>
      <c r="B944" s="7"/>
      <c r="G944" s="9"/>
      <c r="H944" s="9"/>
      <c r="I944" s="12"/>
      <c r="J944" s="12"/>
      <c r="K944" s="12"/>
      <c r="L944" s="12"/>
    </row>
    <row r="945" spans="1:12" ht="13" x14ac:dyDescent="0.15">
      <c r="A945" s="7"/>
      <c r="B945" s="7"/>
      <c r="G945" s="9"/>
      <c r="H945" s="9"/>
      <c r="I945" s="12"/>
      <c r="J945" s="12"/>
      <c r="K945" s="12"/>
      <c r="L945" s="12"/>
    </row>
    <row r="946" spans="1:12" ht="13" x14ac:dyDescent="0.15">
      <c r="A946" s="7"/>
      <c r="B946" s="7"/>
      <c r="G946" s="9"/>
      <c r="H946" s="9"/>
      <c r="I946" s="12"/>
      <c r="J946" s="12"/>
      <c r="K946" s="12"/>
      <c r="L946" s="12"/>
    </row>
    <row r="947" spans="1:12" ht="13" x14ac:dyDescent="0.15">
      <c r="A947" s="7"/>
      <c r="B947" s="7"/>
      <c r="G947" s="9"/>
      <c r="H947" s="9"/>
      <c r="I947" s="12"/>
      <c r="J947" s="12"/>
      <c r="K947" s="12"/>
      <c r="L947" s="12"/>
    </row>
    <row r="948" spans="1:12" ht="13" x14ac:dyDescent="0.15">
      <c r="A948" s="7"/>
      <c r="B948" s="7"/>
      <c r="G948" s="9"/>
      <c r="H948" s="9"/>
      <c r="I948" s="12"/>
      <c r="J948" s="12"/>
      <c r="K948" s="12"/>
      <c r="L948" s="12"/>
    </row>
    <row r="949" spans="1:12" ht="13" x14ac:dyDescent="0.15">
      <c r="A949" s="7"/>
      <c r="B949" s="7"/>
      <c r="G949" s="9"/>
      <c r="H949" s="9"/>
      <c r="I949" s="12"/>
      <c r="J949" s="12"/>
      <c r="K949" s="12"/>
      <c r="L949" s="12"/>
    </row>
    <row r="950" spans="1:12" ht="13" x14ac:dyDescent="0.15">
      <c r="A950" s="7"/>
      <c r="B950" s="7"/>
      <c r="G950" s="9"/>
      <c r="H950" s="9"/>
      <c r="I950" s="12"/>
      <c r="J950" s="12"/>
      <c r="K950" s="12"/>
      <c r="L950" s="12"/>
    </row>
    <row r="951" spans="1:12" ht="13" x14ac:dyDescent="0.15">
      <c r="A951" s="7"/>
      <c r="B951" s="7"/>
      <c r="G951" s="9"/>
      <c r="H951" s="9"/>
      <c r="I951" s="12"/>
      <c r="J951" s="12"/>
      <c r="K951" s="12"/>
      <c r="L951" s="12"/>
    </row>
    <row r="952" spans="1:12" ht="13" x14ac:dyDescent="0.15">
      <c r="A952" s="7"/>
      <c r="B952" s="7"/>
      <c r="G952" s="9"/>
      <c r="H952" s="9"/>
      <c r="I952" s="12"/>
      <c r="J952" s="12"/>
      <c r="K952" s="12"/>
      <c r="L952" s="12"/>
    </row>
    <row r="953" spans="1:12" ht="13" x14ac:dyDescent="0.15">
      <c r="A953" s="7"/>
      <c r="B953" s="7"/>
      <c r="G953" s="9"/>
      <c r="H953" s="9"/>
      <c r="I953" s="12"/>
      <c r="J953" s="12"/>
      <c r="K953" s="12"/>
      <c r="L953" s="12"/>
    </row>
    <row r="954" spans="1:12" ht="13" x14ac:dyDescent="0.15">
      <c r="A954" s="7"/>
      <c r="B954" s="7"/>
      <c r="G954" s="9"/>
      <c r="H954" s="9"/>
      <c r="I954" s="12"/>
      <c r="J954" s="12"/>
      <c r="K954" s="12"/>
      <c r="L954" s="12"/>
    </row>
    <row r="955" spans="1:12" ht="13" x14ac:dyDescent="0.15">
      <c r="A955" s="7"/>
      <c r="B955" s="7"/>
      <c r="G955" s="9"/>
      <c r="H955" s="9"/>
      <c r="I955" s="12"/>
      <c r="J955" s="12"/>
      <c r="K955" s="12"/>
      <c r="L955" s="12"/>
    </row>
    <row r="956" spans="1:12" ht="13" x14ac:dyDescent="0.15">
      <c r="A956" s="7"/>
      <c r="B956" s="7"/>
      <c r="G956" s="9"/>
      <c r="H956" s="9"/>
      <c r="I956" s="12"/>
      <c r="J956" s="12"/>
      <c r="K956" s="12"/>
      <c r="L956" s="12"/>
    </row>
    <row r="957" spans="1:12" ht="13" x14ac:dyDescent="0.15">
      <c r="A957" s="7"/>
      <c r="B957" s="7"/>
      <c r="G957" s="9"/>
      <c r="H957" s="9"/>
      <c r="I957" s="12"/>
      <c r="J957" s="12"/>
      <c r="K957" s="12"/>
      <c r="L957" s="12"/>
    </row>
    <row r="958" spans="1:12" ht="13" x14ac:dyDescent="0.15">
      <c r="A958" s="7"/>
      <c r="B958" s="7"/>
      <c r="G958" s="9"/>
      <c r="H958" s="9"/>
      <c r="I958" s="12"/>
      <c r="J958" s="12"/>
      <c r="K958" s="12"/>
      <c r="L958" s="12"/>
    </row>
    <row r="959" spans="1:12" ht="13" x14ac:dyDescent="0.15">
      <c r="A959" s="7"/>
      <c r="B959" s="7"/>
      <c r="G959" s="9"/>
      <c r="H959" s="9"/>
      <c r="I959" s="12"/>
      <c r="J959" s="12"/>
      <c r="K959" s="12"/>
      <c r="L959" s="12"/>
    </row>
    <row r="960" spans="1:12" ht="13" x14ac:dyDescent="0.15">
      <c r="A960" s="7"/>
      <c r="B960" s="7"/>
      <c r="G960" s="9"/>
      <c r="H960" s="9"/>
      <c r="I960" s="12"/>
      <c r="J960" s="12"/>
      <c r="K960" s="12"/>
      <c r="L960" s="12"/>
    </row>
    <row r="961" spans="1:12" ht="13" x14ac:dyDescent="0.15">
      <c r="A961" s="7"/>
      <c r="B961" s="7"/>
      <c r="G961" s="9"/>
      <c r="H961" s="9"/>
      <c r="I961" s="12"/>
      <c r="J961" s="12"/>
      <c r="K961" s="12"/>
      <c r="L961" s="12"/>
    </row>
    <row r="962" spans="1:12" ht="13" x14ac:dyDescent="0.15">
      <c r="A962" s="7"/>
      <c r="B962" s="7"/>
      <c r="G962" s="9"/>
      <c r="H962" s="9"/>
      <c r="I962" s="12"/>
      <c r="J962" s="12"/>
      <c r="K962" s="12"/>
      <c r="L962" s="12"/>
    </row>
    <row r="963" spans="1:12" ht="13" x14ac:dyDescent="0.15">
      <c r="A963" s="7"/>
      <c r="B963" s="7"/>
      <c r="G963" s="9"/>
      <c r="H963" s="9"/>
      <c r="I963" s="12"/>
      <c r="J963" s="12"/>
      <c r="K963" s="12"/>
      <c r="L963" s="12"/>
    </row>
    <row r="964" spans="1:12" ht="13" x14ac:dyDescent="0.15">
      <c r="A964" s="7"/>
      <c r="B964" s="7"/>
      <c r="G964" s="9"/>
      <c r="H964" s="9"/>
      <c r="I964" s="12"/>
      <c r="J964" s="12"/>
      <c r="K964" s="12"/>
      <c r="L964" s="12"/>
    </row>
    <row r="965" spans="1:12" ht="13" x14ac:dyDescent="0.15">
      <c r="A965" s="7"/>
      <c r="B965" s="7"/>
      <c r="G965" s="9"/>
      <c r="H965" s="9"/>
      <c r="I965" s="12"/>
      <c r="J965" s="12"/>
      <c r="K965" s="12"/>
      <c r="L965" s="12"/>
    </row>
    <row r="966" spans="1:12" ht="13" x14ac:dyDescent="0.15">
      <c r="A966" s="7"/>
      <c r="B966" s="7"/>
      <c r="G966" s="9"/>
      <c r="H966" s="9"/>
      <c r="I966" s="12"/>
      <c r="J966" s="12"/>
      <c r="K966" s="12"/>
      <c r="L966" s="12"/>
    </row>
    <row r="967" spans="1:12" ht="13" x14ac:dyDescent="0.15">
      <c r="A967" s="7"/>
      <c r="B967" s="7"/>
      <c r="G967" s="9"/>
      <c r="H967" s="9"/>
      <c r="I967" s="12"/>
      <c r="J967" s="12"/>
      <c r="K967" s="12"/>
      <c r="L967" s="12"/>
    </row>
    <row r="968" spans="1:12" ht="13" x14ac:dyDescent="0.15">
      <c r="A968" s="7"/>
      <c r="B968" s="7"/>
      <c r="G968" s="9"/>
      <c r="H968" s="9"/>
      <c r="I968" s="12"/>
      <c r="J968" s="12"/>
      <c r="K968" s="12"/>
      <c r="L968" s="12"/>
    </row>
    <row r="969" spans="1:12" ht="13" x14ac:dyDescent="0.15">
      <c r="A969" s="7"/>
      <c r="B969" s="7"/>
      <c r="G969" s="9"/>
      <c r="H969" s="9"/>
      <c r="I969" s="12"/>
      <c r="J969" s="12"/>
      <c r="K969" s="12"/>
      <c r="L969" s="12"/>
    </row>
    <row r="970" spans="1:12" ht="13" x14ac:dyDescent="0.15">
      <c r="A970" s="7"/>
      <c r="B970" s="7"/>
      <c r="G970" s="9"/>
      <c r="H970" s="9"/>
      <c r="I970" s="12"/>
      <c r="J970" s="12"/>
      <c r="K970" s="12"/>
      <c r="L970" s="12"/>
    </row>
    <row r="971" spans="1:12" ht="13" x14ac:dyDescent="0.15">
      <c r="A971" s="7"/>
      <c r="B971" s="7"/>
      <c r="G971" s="9"/>
      <c r="H971" s="9"/>
      <c r="I971" s="12"/>
      <c r="J971" s="12"/>
      <c r="K971" s="12"/>
      <c r="L971" s="12"/>
    </row>
    <row r="972" spans="1:12" ht="13" x14ac:dyDescent="0.15">
      <c r="A972" s="7"/>
      <c r="B972" s="7"/>
      <c r="G972" s="9"/>
      <c r="H972" s="9"/>
      <c r="I972" s="12"/>
      <c r="J972" s="12"/>
      <c r="K972" s="12"/>
      <c r="L972" s="12"/>
    </row>
    <row r="973" spans="1:12" ht="13" x14ac:dyDescent="0.15">
      <c r="A973" s="7"/>
      <c r="B973" s="7"/>
      <c r="G973" s="9"/>
      <c r="H973" s="9"/>
      <c r="I973" s="12"/>
      <c r="J973" s="12"/>
      <c r="K973" s="12"/>
      <c r="L973" s="12"/>
    </row>
    <row r="974" spans="1:12" ht="13" x14ac:dyDescent="0.15">
      <c r="A974" s="7"/>
      <c r="B974" s="7"/>
      <c r="G974" s="9"/>
      <c r="H974" s="9"/>
      <c r="I974" s="12"/>
      <c r="J974" s="12"/>
      <c r="K974" s="12"/>
      <c r="L974" s="12"/>
    </row>
    <row r="975" spans="1:12" ht="13" x14ac:dyDescent="0.15">
      <c r="A975" s="7"/>
      <c r="B975" s="7"/>
      <c r="G975" s="9"/>
      <c r="H975" s="9"/>
      <c r="I975" s="12"/>
      <c r="J975" s="12"/>
      <c r="K975" s="12"/>
      <c r="L975" s="12"/>
    </row>
    <row r="976" spans="1:12" ht="13" x14ac:dyDescent="0.15">
      <c r="A976" s="7"/>
      <c r="B976" s="7"/>
      <c r="G976" s="9"/>
      <c r="H976" s="9"/>
      <c r="I976" s="12"/>
      <c r="J976" s="12"/>
      <c r="K976" s="12"/>
      <c r="L976" s="12"/>
    </row>
    <row r="977" spans="1:12" ht="13" x14ac:dyDescent="0.15">
      <c r="A977" s="7"/>
      <c r="B977" s="7"/>
      <c r="G977" s="9"/>
      <c r="H977" s="9"/>
      <c r="I977" s="12"/>
      <c r="J977" s="12"/>
      <c r="K977" s="12"/>
      <c r="L977" s="12"/>
    </row>
    <row r="978" spans="1:12" ht="13" x14ac:dyDescent="0.15">
      <c r="A978" s="7"/>
      <c r="B978" s="7"/>
      <c r="G978" s="9"/>
      <c r="H978" s="9"/>
      <c r="I978" s="12"/>
      <c r="J978" s="12"/>
      <c r="K978" s="12"/>
      <c r="L978" s="12"/>
    </row>
    <row r="979" spans="1:12" ht="13" x14ac:dyDescent="0.15">
      <c r="A979" s="7"/>
      <c r="B979" s="7"/>
      <c r="G979" s="9"/>
      <c r="H979" s="9"/>
      <c r="I979" s="12"/>
      <c r="J979" s="12"/>
      <c r="K979" s="12"/>
      <c r="L979" s="12"/>
    </row>
    <row r="980" spans="1:12" ht="13" x14ac:dyDescent="0.15">
      <c r="A980" s="7"/>
      <c r="B980" s="7"/>
      <c r="G980" s="9"/>
      <c r="H980" s="9"/>
      <c r="I980" s="12"/>
      <c r="J980" s="12"/>
      <c r="K980" s="12"/>
      <c r="L980" s="12"/>
    </row>
    <row r="981" spans="1:12" ht="13" x14ac:dyDescent="0.15">
      <c r="A981" s="7"/>
      <c r="B981" s="7"/>
      <c r="G981" s="9"/>
      <c r="H981" s="9"/>
      <c r="I981" s="12"/>
      <c r="J981" s="12"/>
      <c r="K981" s="12"/>
      <c r="L981" s="12"/>
    </row>
    <row r="982" spans="1:12" ht="13" x14ac:dyDescent="0.15">
      <c r="A982" s="7"/>
      <c r="B982" s="7"/>
      <c r="G982" s="9"/>
      <c r="H982" s="9"/>
      <c r="I982" s="12"/>
      <c r="J982" s="12"/>
      <c r="K982" s="12"/>
      <c r="L982" s="12"/>
    </row>
    <row r="983" spans="1:12" ht="13" x14ac:dyDescent="0.15">
      <c r="A983" s="7"/>
      <c r="B983" s="7"/>
      <c r="G983" s="9"/>
      <c r="H983" s="9"/>
      <c r="I983" s="12"/>
      <c r="J983" s="12"/>
      <c r="K983" s="12"/>
      <c r="L983" s="12"/>
    </row>
    <row r="984" spans="1:12" ht="13" x14ac:dyDescent="0.15">
      <c r="A984" s="7"/>
      <c r="B984" s="7"/>
      <c r="G984" s="9"/>
      <c r="H984" s="9"/>
      <c r="I984" s="12"/>
      <c r="J984" s="12"/>
      <c r="K984" s="12"/>
      <c r="L984" s="12"/>
    </row>
    <row r="985" spans="1:12" ht="13" x14ac:dyDescent="0.15">
      <c r="A985" s="7"/>
      <c r="B985" s="7"/>
      <c r="G985" s="9"/>
      <c r="H985" s="9"/>
      <c r="I985" s="12"/>
      <c r="J985" s="12"/>
      <c r="K985" s="12"/>
      <c r="L985" s="12"/>
    </row>
    <row r="986" spans="1:12" ht="13" x14ac:dyDescent="0.15">
      <c r="A986" s="7"/>
      <c r="B986" s="7"/>
      <c r="G986" s="9"/>
      <c r="H986" s="9"/>
      <c r="I986" s="12"/>
      <c r="J986" s="12"/>
      <c r="K986" s="12"/>
      <c r="L986" s="12"/>
    </row>
    <row r="987" spans="1:12" ht="13" x14ac:dyDescent="0.15">
      <c r="A987" s="7"/>
      <c r="B987" s="7"/>
      <c r="G987" s="9"/>
      <c r="H987" s="9"/>
      <c r="I987" s="12"/>
      <c r="J987" s="12"/>
      <c r="K987" s="12"/>
      <c r="L987" s="12"/>
    </row>
    <row r="988" spans="1:12" ht="13" x14ac:dyDescent="0.15">
      <c r="A988" s="7"/>
      <c r="B988" s="7"/>
      <c r="G988" s="9"/>
      <c r="H988" s="9"/>
      <c r="I988" s="12"/>
      <c r="J988" s="12"/>
      <c r="K988" s="12"/>
      <c r="L988" s="12"/>
    </row>
    <row r="989" spans="1:12" ht="13" x14ac:dyDescent="0.15">
      <c r="A989" s="7"/>
      <c r="B989" s="7"/>
      <c r="G989" s="9"/>
      <c r="H989" s="9"/>
      <c r="I989" s="12"/>
      <c r="J989" s="12"/>
      <c r="K989" s="12"/>
      <c r="L989" s="12"/>
    </row>
    <row r="990" spans="1:12" ht="13" x14ac:dyDescent="0.15">
      <c r="A990" s="7"/>
      <c r="B990" s="7"/>
      <c r="G990" s="9"/>
      <c r="H990" s="9"/>
      <c r="I990" s="12"/>
      <c r="J990" s="12"/>
      <c r="K990" s="12"/>
      <c r="L990" s="12"/>
    </row>
    <row r="991" spans="1:12" ht="13" x14ac:dyDescent="0.15">
      <c r="A991" s="7"/>
      <c r="B991" s="7"/>
      <c r="G991" s="9"/>
      <c r="H991" s="9"/>
      <c r="I991" s="12"/>
      <c r="J991" s="12"/>
      <c r="K991" s="12"/>
      <c r="L991" s="12"/>
    </row>
    <row r="992" spans="1:12" ht="13" x14ac:dyDescent="0.15">
      <c r="A992" s="7"/>
      <c r="B992" s="7"/>
      <c r="G992" s="9"/>
      <c r="H992" s="9"/>
      <c r="I992" s="12"/>
      <c r="J992" s="12"/>
      <c r="K992" s="12"/>
      <c r="L992" s="12"/>
    </row>
    <row r="993" spans="1:12" ht="13" x14ac:dyDescent="0.15">
      <c r="A993" s="7"/>
      <c r="B993" s="7"/>
      <c r="G993" s="9"/>
      <c r="H993" s="9"/>
      <c r="I993" s="12"/>
      <c r="J993" s="12"/>
      <c r="K993" s="12"/>
      <c r="L993" s="12"/>
    </row>
    <row r="994" spans="1:12" ht="13" x14ac:dyDescent="0.15">
      <c r="A994" s="7"/>
      <c r="B994" s="7"/>
      <c r="G994" s="9"/>
      <c r="H994" s="9"/>
      <c r="I994" s="12"/>
      <c r="J994" s="12"/>
      <c r="K994" s="12"/>
      <c r="L994" s="12"/>
    </row>
    <row r="995" spans="1:12" ht="13" x14ac:dyDescent="0.15">
      <c r="A995" s="7"/>
      <c r="B995" s="7"/>
      <c r="G995" s="9"/>
      <c r="H995" s="9"/>
      <c r="I995" s="12"/>
      <c r="J995" s="12"/>
      <c r="K995" s="12"/>
      <c r="L995" s="12"/>
    </row>
    <row r="996" spans="1:12" ht="13" x14ac:dyDescent="0.15">
      <c r="A996" s="7"/>
      <c r="B996" s="7"/>
      <c r="G996" s="9"/>
      <c r="H996" s="9"/>
      <c r="I996" s="12"/>
      <c r="J996" s="12"/>
      <c r="K996" s="12"/>
      <c r="L996" s="12"/>
    </row>
    <row r="997" spans="1:12" ht="13" x14ac:dyDescent="0.15">
      <c r="A997" s="7"/>
      <c r="B997" s="7"/>
      <c r="G997" s="9"/>
      <c r="H997" s="9"/>
      <c r="I997" s="12"/>
      <c r="J997" s="12"/>
      <c r="K997" s="12"/>
      <c r="L997" s="12"/>
    </row>
    <row r="998" spans="1:12" ht="13" x14ac:dyDescent="0.15">
      <c r="A998" s="7"/>
      <c r="B998" s="7"/>
      <c r="G998" s="9"/>
      <c r="H998" s="9"/>
      <c r="I998" s="12"/>
      <c r="J998" s="12"/>
      <c r="K998" s="12"/>
      <c r="L998" s="12"/>
    </row>
    <row r="999" spans="1:12" ht="13" x14ac:dyDescent="0.15">
      <c r="A999" s="7"/>
      <c r="B999" s="7"/>
      <c r="G999" s="9"/>
      <c r="H999" s="9"/>
      <c r="I999" s="12"/>
      <c r="J999" s="12"/>
      <c r="K999" s="12"/>
      <c r="L999" s="12"/>
    </row>
    <row r="1000" spans="1:12" ht="13" x14ac:dyDescent="0.15">
      <c r="A1000" s="7"/>
      <c r="B1000" s="7"/>
      <c r="G1000" s="9"/>
      <c r="H1000" s="9"/>
      <c r="I1000" s="12"/>
      <c r="J1000" s="12"/>
      <c r="K1000" s="12"/>
      <c r="L1000" s="12"/>
    </row>
    <row r="1001" spans="1:12" ht="13" x14ac:dyDescent="0.15">
      <c r="A1001" s="7"/>
      <c r="B1001" s="7"/>
      <c r="G1001" s="9"/>
      <c r="H1001" s="9"/>
      <c r="I1001" s="12"/>
      <c r="J1001" s="12"/>
      <c r="K1001" s="12"/>
      <c r="L1001" s="12"/>
    </row>
  </sheetData>
  <mergeCells count="2">
    <mergeCell ref="C1:F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2.6640625" defaultRowHeight="15.75" customHeight="1" x14ac:dyDescent="0.15"/>
  <cols>
    <col min="29" max="29" width="1.5" customWidth="1"/>
  </cols>
  <sheetData>
    <row r="1" spans="1:56" x14ac:dyDescent="0.2">
      <c r="A1" s="19" t="s">
        <v>1</v>
      </c>
      <c r="B1" s="48">
        <v>0.41666666666666669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9" t="s">
        <v>33</v>
      </c>
      <c r="AA1" s="46"/>
      <c r="AB1" s="46"/>
      <c r="AC1" s="50"/>
      <c r="AD1" s="51">
        <v>0.58333333333333337</v>
      </c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9" t="s">
        <v>33</v>
      </c>
      <c r="BC1" s="46"/>
      <c r="BD1" s="46"/>
    </row>
    <row r="2" spans="1:56" ht="15.75" customHeight="1" x14ac:dyDescent="0.15">
      <c r="A2" s="19"/>
      <c r="B2" s="43" t="s">
        <v>23</v>
      </c>
      <c r="C2" s="44"/>
      <c r="D2" s="44"/>
      <c r="E2" s="44"/>
      <c r="F2" s="52" t="s">
        <v>34</v>
      </c>
      <c r="G2" s="44"/>
      <c r="H2" s="44"/>
      <c r="I2" s="44"/>
      <c r="J2" s="53" t="s">
        <v>35</v>
      </c>
      <c r="K2" s="44"/>
      <c r="L2" s="44"/>
      <c r="M2" s="44"/>
      <c r="N2" s="54" t="s">
        <v>36</v>
      </c>
      <c r="O2" s="44"/>
      <c r="P2" s="44"/>
      <c r="Q2" s="44"/>
      <c r="R2" s="55" t="s">
        <v>37</v>
      </c>
      <c r="S2" s="44"/>
      <c r="T2" s="44"/>
      <c r="U2" s="44"/>
      <c r="V2" s="56" t="s">
        <v>38</v>
      </c>
      <c r="W2" s="44"/>
      <c r="X2" s="44"/>
      <c r="Y2" s="44"/>
      <c r="Z2" s="47" t="s">
        <v>39</v>
      </c>
      <c r="AA2" s="47" t="s">
        <v>30</v>
      </c>
      <c r="AB2" s="47" t="s">
        <v>40</v>
      </c>
      <c r="AC2" s="46"/>
      <c r="AD2" s="43" t="s">
        <v>23</v>
      </c>
      <c r="AE2" s="44"/>
      <c r="AF2" s="44"/>
      <c r="AG2" s="44"/>
      <c r="AH2" s="52" t="s">
        <v>34</v>
      </c>
      <c r="AI2" s="44"/>
      <c r="AJ2" s="44"/>
      <c r="AK2" s="44"/>
      <c r="AL2" s="53" t="s">
        <v>35</v>
      </c>
      <c r="AM2" s="44"/>
      <c r="AN2" s="44"/>
      <c r="AO2" s="44"/>
      <c r="AP2" s="54" t="s">
        <v>36</v>
      </c>
      <c r="AQ2" s="44"/>
      <c r="AR2" s="44"/>
      <c r="AS2" s="44"/>
      <c r="AT2" s="55" t="s">
        <v>37</v>
      </c>
      <c r="AU2" s="44"/>
      <c r="AV2" s="44"/>
      <c r="AW2" s="44"/>
      <c r="AX2" s="56" t="s">
        <v>38</v>
      </c>
      <c r="AY2" s="44"/>
      <c r="AZ2" s="44"/>
      <c r="BA2" s="44"/>
      <c r="BB2" s="47" t="s">
        <v>39</v>
      </c>
      <c r="BC2" s="47" t="s">
        <v>29</v>
      </c>
      <c r="BD2" s="47" t="s">
        <v>30</v>
      </c>
    </row>
    <row r="3" spans="1:56" ht="15.75" customHeight="1" x14ac:dyDescent="0.15">
      <c r="A3" s="20"/>
      <c r="B3" s="21" t="s">
        <v>25</v>
      </c>
      <c r="C3" s="21" t="s">
        <v>26</v>
      </c>
      <c r="D3" s="21" t="s">
        <v>41</v>
      </c>
      <c r="E3" s="21" t="s">
        <v>28</v>
      </c>
      <c r="F3" s="21" t="s">
        <v>42</v>
      </c>
      <c r="G3" s="21" t="s">
        <v>43</v>
      </c>
      <c r="H3" s="21" t="s">
        <v>41</v>
      </c>
      <c r="I3" s="21" t="s">
        <v>28</v>
      </c>
      <c r="J3" s="21" t="s">
        <v>42</v>
      </c>
      <c r="K3" s="21" t="s">
        <v>43</v>
      </c>
      <c r="L3" s="21" t="s">
        <v>41</v>
      </c>
      <c r="M3" s="21" t="s">
        <v>28</v>
      </c>
      <c r="N3" s="21" t="s">
        <v>42</v>
      </c>
      <c r="O3" s="21" t="s">
        <v>43</v>
      </c>
      <c r="P3" s="21" t="s">
        <v>41</v>
      </c>
      <c r="Q3" s="21" t="s">
        <v>28</v>
      </c>
      <c r="R3" s="21" t="s">
        <v>42</v>
      </c>
      <c r="S3" s="21" t="s">
        <v>43</v>
      </c>
      <c r="T3" s="21" t="s">
        <v>41</v>
      </c>
      <c r="U3" s="21" t="s">
        <v>28</v>
      </c>
      <c r="V3" s="21" t="s">
        <v>42</v>
      </c>
      <c r="W3" s="21" t="s">
        <v>43</v>
      </c>
      <c r="X3" s="21" t="s">
        <v>41</v>
      </c>
      <c r="Y3" s="21" t="s">
        <v>28</v>
      </c>
      <c r="Z3" s="42"/>
      <c r="AA3" s="42"/>
      <c r="AB3" s="42"/>
      <c r="AC3" s="46"/>
      <c r="AD3" s="21" t="s">
        <v>42</v>
      </c>
      <c r="AE3" s="21" t="s">
        <v>43</v>
      </c>
      <c r="AF3" s="21" t="s">
        <v>41</v>
      </c>
      <c r="AG3" s="21" t="s">
        <v>28</v>
      </c>
      <c r="AH3" s="21" t="s">
        <v>42</v>
      </c>
      <c r="AI3" s="21" t="s">
        <v>43</v>
      </c>
      <c r="AJ3" s="21" t="s">
        <v>41</v>
      </c>
      <c r="AK3" s="21" t="s">
        <v>28</v>
      </c>
      <c r="AL3" s="21" t="s">
        <v>42</v>
      </c>
      <c r="AM3" s="21" t="s">
        <v>43</v>
      </c>
      <c r="AN3" s="21" t="s">
        <v>41</v>
      </c>
      <c r="AO3" s="21" t="s">
        <v>28</v>
      </c>
      <c r="AP3" s="21" t="s">
        <v>42</v>
      </c>
      <c r="AQ3" s="21" t="s">
        <v>43</v>
      </c>
      <c r="AR3" s="21" t="s">
        <v>41</v>
      </c>
      <c r="AS3" s="21" t="s">
        <v>28</v>
      </c>
      <c r="AT3" s="21" t="s">
        <v>42</v>
      </c>
      <c r="AU3" s="21" t="s">
        <v>43</v>
      </c>
      <c r="AV3" s="21" t="s">
        <v>41</v>
      </c>
      <c r="AW3" s="21" t="s">
        <v>28</v>
      </c>
      <c r="AX3" s="21" t="s">
        <v>42</v>
      </c>
      <c r="AY3" s="21" t="s">
        <v>43</v>
      </c>
      <c r="AZ3" s="21" t="s">
        <v>41</v>
      </c>
      <c r="BA3" s="21" t="s">
        <v>28</v>
      </c>
      <c r="BB3" s="42"/>
      <c r="BC3" s="42"/>
      <c r="BD3" s="42"/>
    </row>
    <row r="4" spans="1:56" ht="15.75" customHeight="1" x14ac:dyDescent="0.15">
      <c r="A4" s="19" t="s">
        <v>44</v>
      </c>
      <c r="B4" s="12">
        <v>6.8</v>
      </c>
      <c r="C4" s="12">
        <v>1.44</v>
      </c>
      <c r="D4" s="12">
        <f t="shared" ref="D4:D32" si="0">C4/2</f>
        <v>0.72</v>
      </c>
      <c r="E4" s="12">
        <v>25</v>
      </c>
      <c r="F4" s="12">
        <v>7</v>
      </c>
      <c r="G4" s="12">
        <v>1.33</v>
      </c>
      <c r="H4" s="12">
        <f t="shared" ref="H4:H32" si="1">G4/2</f>
        <v>0.66500000000000004</v>
      </c>
      <c r="I4" s="12">
        <v>25.2</v>
      </c>
      <c r="J4" s="12">
        <v>7</v>
      </c>
      <c r="K4" s="12">
        <v>1.33</v>
      </c>
      <c r="L4" s="12">
        <f t="shared" ref="L4:L32" si="2">K4/2</f>
        <v>0.66500000000000004</v>
      </c>
      <c r="M4" s="12">
        <v>24.3</v>
      </c>
      <c r="N4" s="12">
        <v>6.9</v>
      </c>
      <c r="O4" s="12">
        <v>1.89</v>
      </c>
      <c r="P4" s="12">
        <f t="shared" ref="P4:P32" si="3">O4/2</f>
        <v>0.94499999999999995</v>
      </c>
      <c r="Q4" s="12">
        <v>25</v>
      </c>
      <c r="R4" s="12">
        <v>7</v>
      </c>
      <c r="S4" s="12">
        <v>1.95</v>
      </c>
      <c r="T4" s="12">
        <f t="shared" ref="T4:T32" si="4">S4/2</f>
        <v>0.97499999999999998</v>
      </c>
      <c r="U4" s="12">
        <v>26</v>
      </c>
      <c r="V4" s="12">
        <v>6.9</v>
      </c>
      <c r="W4" s="12">
        <v>1.8</v>
      </c>
      <c r="X4" s="12">
        <f t="shared" ref="X4:X32" si="5">W4/2</f>
        <v>0.9</v>
      </c>
      <c r="Y4" s="12">
        <v>25.3</v>
      </c>
      <c r="Z4" s="12">
        <v>7750</v>
      </c>
      <c r="AA4" s="12">
        <v>26.9</v>
      </c>
      <c r="AB4" s="12">
        <v>63.5</v>
      </c>
      <c r="AC4" s="22"/>
      <c r="AD4" s="12" t="s">
        <v>45</v>
      </c>
      <c r="AE4" s="12" t="s">
        <v>45</v>
      </c>
      <c r="AF4" s="12" t="s">
        <v>45</v>
      </c>
      <c r="AG4" s="12" t="s">
        <v>45</v>
      </c>
      <c r="AH4" s="12" t="s">
        <v>45</v>
      </c>
      <c r="AI4" s="12" t="s">
        <v>45</v>
      </c>
      <c r="AJ4" s="12" t="s">
        <v>45</v>
      </c>
      <c r="AK4" s="12" t="s">
        <v>45</v>
      </c>
      <c r="AL4" s="12" t="s">
        <v>45</v>
      </c>
      <c r="AM4" s="12" t="s">
        <v>45</v>
      </c>
      <c r="AN4" s="12" t="s">
        <v>45</v>
      </c>
      <c r="AO4" s="12" t="s">
        <v>45</v>
      </c>
      <c r="AP4" s="12" t="s">
        <v>45</v>
      </c>
      <c r="AQ4" s="12" t="s">
        <v>45</v>
      </c>
      <c r="AR4" s="12" t="s">
        <v>45</v>
      </c>
      <c r="AS4" s="12" t="s">
        <v>45</v>
      </c>
      <c r="AT4" s="12" t="s">
        <v>45</v>
      </c>
      <c r="AU4" s="12" t="s">
        <v>45</v>
      </c>
      <c r="AV4" s="12" t="s">
        <v>45</v>
      </c>
      <c r="AW4" s="12" t="s">
        <v>45</v>
      </c>
      <c r="AX4" s="12" t="s">
        <v>45</v>
      </c>
      <c r="AY4" s="12" t="s">
        <v>45</v>
      </c>
      <c r="AZ4" s="12" t="s">
        <v>45</v>
      </c>
      <c r="BA4" s="12" t="s">
        <v>45</v>
      </c>
      <c r="BB4" s="12" t="s">
        <v>45</v>
      </c>
      <c r="BC4" s="12" t="s">
        <v>45</v>
      </c>
      <c r="BD4" s="12" t="s">
        <v>45</v>
      </c>
    </row>
    <row r="5" spans="1:56" ht="15.75" customHeight="1" x14ac:dyDescent="0.15">
      <c r="A5" s="19" t="s">
        <v>46</v>
      </c>
      <c r="B5" s="12">
        <v>6.3</v>
      </c>
      <c r="C5" s="12">
        <v>1.48</v>
      </c>
      <c r="D5" s="12">
        <f t="shared" si="0"/>
        <v>0.74</v>
      </c>
      <c r="E5" s="12">
        <v>28.3</v>
      </c>
      <c r="F5" s="12">
        <v>6.7</v>
      </c>
      <c r="G5" s="12">
        <v>1.37</v>
      </c>
      <c r="H5" s="12">
        <f t="shared" si="1"/>
        <v>0.68500000000000005</v>
      </c>
      <c r="I5" s="12">
        <v>27.4</v>
      </c>
      <c r="J5" s="12">
        <v>6.3</v>
      </c>
      <c r="K5" s="12">
        <v>1.37</v>
      </c>
      <c r="L5" s="12">
        <f t="shared" si="2"/>
        <v>0.68500000000000005</v>
      </c>
      <c r="M5" s="12">
        <v>26.4</v>
      </c>
      <c r="N5" s="12">
        <v>6.2</v>
      </c>
      <c r="O5" s="12">
        <v>1.91</v>
      </c>
      <c r="P5" s="12">
        <f t="shared" si="3"/>
        <v>0.95499999999999996</v>
      </c>
      <c r="Q5" s="12">
        <v>26.9</v>
      </c>
      <c r="R5" s="12">
        <v>6</v>
      </c>
      <c r="S5" s="12">
        <v>1.91</v>
      </c>
      <c r="T5" s="12">
        <f t="shared" si="4"/>
        <v>0.95499999999999996</v>
      </c>
      <c r="U5" s="12">
        <v>26.9</v>
      </c>
      <c r="V5" s="12">
        <v>6.1</v>
      </c>
      <c r="W5" s="12">
        <v>1.9</v>
      </c>
      <c r="X5" s="12">
        <f t="shared" si="5"/>
        <v>0.95</v>
      </c>
      <c r="Y5" s="12">
        <v>28.4</v>
      </c>
      <c r="Z5" s="12" t="s">
        <v>45</v>
      </c>
      <c r="AA5" s="12" t="s">
        <v>45</v>
      </c>
      <c r="AB5" s="12" t="s">
        <v>45</v>
      </c>
      <c r="AC5" s="22"/>
      <c r="AD5" s="12" t="s">
        <v>45</v>
      </c>
      <c r="AE5" s="12" t="s">
        <v>45</v>
      </c>
      <c r="AF5" s="12" t="s">
        <v>45</v>
      </c>
      <c r="AG5" s="12" t="s">
        <v>45</v>
      </c>
      <c r="AH5" s="12" t="s">
        <v>45</v>
      </c>
      <c r="AI5" s="12" t="s">
        <v>45</v>
      </c>
      <c r="AJ5" s="12" t="s">
        <v>45</v>
      </c>
      <c r="AK5" s="12" t="s">
        <v>45</v>
      </c>
      <c r="AL5" s="12" t="s">
        <v>45</v>
      </c>
      <c r="AM5" s="12" t="s">
        <v>45</v>
      </c>
      <c r="AN5" s="12" t="s">
        <v>45</v>
      </c>
      <c r="AO5" s="12" t="s">
        <v>45</v>
      </c>
      <c r="AP5" s="12" t="s">
        <v>45</v>
      </c>
      <c r="AQ5" s="12" t="s">
        <v>45</v>
      </c>
      <c r="AR5" s="12" t="s">
        <v>45</v>
      </c>
      <c r="AS5" s="12" t="s">
        <v>45</v>
      </c>
      <c r="AT5" s="12" t="s">
        <v>45</v>
      </c>
      <c r="AU5" s="12" t="s">
        <v>45</v>
      </c>
      <c r="AV5" s="12" t="s">
        <v>45</v>
      </c>
      <c r="AW5" s="12" t="s">
        <v>45</v>
      </c>
      <c r="AX5" s="12" t="s">
        <v>45</v>
      </c>
      <c r="AY5" s="12" t="s">
        <v>45</v>
      </c>
      <c r="AZ5" s="12" t="s">
        <v>45</v>
      </c>
      <c r="BA5" s="12" t="s">
        <v>45</v>
      </c>
      <c r="BB5" s="12" t="s">
        <v>45</v>
      </c>
      <c r="BC5" s="12" t="s">
        <v>45</v>
      </c>
      <c r="BD5" s="12" t="s">
        <v>45</v>
      </c>
    </row>
    <row r="6" spans="1:56" ht="15.75" customHeight="1" x14ac:dyDescent="0.15">
      <c r="A6" s="19" t="s">
        <v>47</v>
      </c>
      <c r="B6" s="12">
        <v>6.6</v>
      </c>
      <c r="C6" s="12">
        <v>1.72</v>
      </c>
      <c r="D6" s="12">
        <f t="shared" si="0"/>
        <v>0.86</v>
      </c>
      <c r="E6" s="12">
        <v>25.3</v>
      </c>
      <c r="F6" s="12">
        <v>6.7</v>
      </c>
      <c r="G6" s="12">
        <v>1.71</v>
      </c>
      <c r="H6" s="12">
        <f t="shared" si="1"/>
        <v>0.85499999999999998</v>
      </c>
      <c r="I6" s="12">
        <v>25.8</v>
      </c>
      <c r="J6" s="12">
        <v>6.8</v>
      </c>
      <c r="K6" s="12">
        <v>1.73</v>
      </c>
      <c r="L6" s="12">
        <f t="shared" si="2"/>
        <v>0.86499999999999999</v>
      </c>
      <c r="M6" s="12">
        <v>24.8</v>
      </c>
      <c r="N6" s="12">
        <v>6.7</v>
      </c>
      <c r="O6" s="12">
        <v>2.17</v>
      </c>
      <c r="P6" s="12">
        <f t="shared" si="3"/>
        <v>1.085</v>
      </c>
      <c r="Q6" s="12">
        <v>25</v>
      </c>
      <c r="R6" s="12">
        <v>6.5</v>
      </c>
      <c r="S6" s="12">
        <v>2.27</v>
      </c>
      <c r="T6" s="12">
        <f t="shared" si="4"/>
        <v>1.135</v>
      </c>
      <c r="U6" s="12">
        <v>24.9</v>
      </c>
      <c r="V6" s="12">
        <v>6.3</v>
      </c>
      <c r="W6" s="12">
        <v>2.2200000000000002</v>
      </c>
      <c r="X6" s="12">
        <f t="shared" si="5"/>
        <v>1.1100000000000001</v>
      </c>
      <c r="Y6" s="12">
        <v>25.6</v>
      </c>
      <c r="Z6" s="12" t="s">
        <v>45</v>
      </c>
      <c r="AA6" s="12" t="s">
        <v>45</v>
      </c>
      <c r="AB6" s="12" t="s">
        <v>45</v>
      </c>
      <c r="AC6" s="22"/>
      <c r="AD6" s="12">
        <v>6.8</v>
      </c>
      <c r="AE6" s="12">
        <v>1.75</v>
      </c>
      <c r="AF6" s="12">
        <f t="shared" ref="AF6:AF18" si="6">AE6/2</f>
        <v>0.875</v>
      </c>
      <c r="AG6" s="12">
        <v>25.8</v>
      </c>
      <c r="AH6" s="12">
        <v>6.7</v>
      </c>
      <c r="AI6" s="12">
        <v>1.75</v>
      </c>
      <c r="AJ6" s="12">
        <f t="shared" ref="AJ6:AJ18" si="7">AI6/2</f>
        <v>0.875</v>
      </c>
      <c r="AK6" s="12">
        <v>25.8</v>
      </c>
      <c r="AL6" s="12">
        <v>6.8</v>
      </c>
      <c r="AM6" s="12">
        <v>1.72</v>
      </c>
      <c r="AN6" s="12">
        <f t="shared" ref="AN6:AN15" si="8">AM6/2</f>
        <v>0.86</v>
      </c>
      <c r="AO6" s="12">
        <v>25.8</v>
      </c>
      <c r="AP6" s="12">
        <v>6.7</v>
      </c>
      <c r="AQ6" s="12">
        <v>2.17</v>
      </c>
      <c r="AR6" s="12">
        <f t="shared" ref="AR6:AR18" si="9">AQ6/2</f>
        <v>1.085</v>
      </c>
      <c r="AS6" s="12">
        <v>26</v>
      </c>
      <c r="AT6" s="12">
        <v>6.5</v>
      </c>
      <c r="AU6" s="12">
        <v>2.27</v>
      </c>
      <c r="AV6" s="12">
        <f t="shared" ref="AV6:AV18" si="10">AU6/2</f>
        <v>1.135</v>
      </c>
      <c r="AW6" s="12">
        <v>25.8</v>
      </c>
      <c r="AX6" s="12">
        <v>6.3</v>
      </c>
      <c r="AY6" s="12">
        <v>2.2000000000000002</v>
      </c>
      <c r="AZ6" s="12">
        <f t="shared" ref="AZ6:AZ18" si="11">AY6/2</f>
        <v>1.1000000000000001</v>
      </c>
      <c r="BA6" s="12">
        <v>26.6</v>
      </c>
      <c r="BB6" s="12" t="s">
        <v>45</v>
      </c>
      <c r="BC6" s="12" t="s">
        <v>45</v>
      </c>
      <c r="BD6" s="12" t="s">
        <v>45</v>
      </c>
    </row>
    <row r="7" spans="1:56" ht="15.75" customHeight="1" x14ac:dyDescent="0.15">
      <c r="A7" s="19" t="s">
        <v>48</v>
      </c>
      <c r="B7" s="12">
        <v>6.3</v>
      </c>
      <c r="C7" s="12">
        <v>1.78</v>
      </c>
      <c r="D7" s="12">
        <f t="shared" si="0"/>
        <v>0.89</v>
      </c>
      <c r="E7" s="12">
        <v>24.7</v>
      </c>
      <c r="F7" s="12">
        <v>6.2</v>
      </c>
      <c r="G7" s="12">
        <v>1.79</v>
      </c>
      <c r="H7" s="12">
        <f t="shared" si="1"/>
        <v>0.89500000000000002</v>
      </c>
      <c r="I7" s="12">
        <v>25</v>
      </c>
      <c r="J7" s="12">
        <v>6.3</v>
      </c>
      <c r="K7" s="12">
        <v>1.75</v>
      </c>
      <c r="L7" s="12">
        <f t="shared" si="2"/>
        <v>0.875</v>
      </c>
      <c r="M7" s="12">
        <v>24.3</v>
      </c>
      <c r="N7" s="12">
        <v>6.1</v>
      </c>
      <c r="O7" s="12">
        <v>2.2200000000000002</v>
      </c>
      <c r="P7" s="12">
        <f t="shared" si="3"/>
        <v>1.1100000000000001</v>
      </c>
      <c r="Q7" s="12">
        <v>24.6</v>
      </c>
      <c r="R7" s="12">
        <v>6</v>
      </c>
      <c r="S7" s="12">
        <v>2.2999999999999998</v>
      </c>
      <c r="T7" s="12">
        <f t="shared" si="4"/>
        <v>1.1499999999999999</v>
      </c>
      <c r="U7" s="12">
        <v>24.9</v>
      </c>
      <c r="V7" s="12">
        <v>5.8</v>
      </c>
      <c r="W7" s="12">
        <v>2.27</v>
      </c>
      <c r="X7" s="12">
        <f t="shared" si="5"/>
        <v>1.135</v>
      </c>
      <c r="Y7" s="12">
        <v>25.8</v>
      </c>
      <c r="Z7" s="12" t="s">
        <v>45</v>
      </c>
      <c r="AA7" s="12" t="s">
        <v>45</v>
      </c>
      <c r="AB7" s="12" t="s">
        <v>45</v>
      </c>
      <c r="AC7" s="22"/>
      <c r="AD7" s="12">
        <v>6.1</v>
      </c>
      <c r="AE7" s="12">
        <v>1.8</v>
      </c>
      <c r="AF7" s="12">
        <f t="shared" si="6"/>
        <v>0.9</v>
      </c>
      <c r="AG7" s="12">
        <v>27.8</v>
      </c>
      <c r="AH7" s="12">
        <v>5.9</v>
      </c>
      <c r="AI7" s="12">
        <v>1.76</v>
      </c>
      <c r="AJ7" s="12">
        <f t="shared" si="7"/>
        <v>0.88</v>
      </c>
      <c r="AK7" s="12">
        <v>27.6</v>
      </c>
      <c r="AL7" s="12">
        <v>6.3</v>
      </c>
      <c r="AM7" s="12">
        <v>1.75</v>
      </c>
      <c r="AN7" s="12">
        <f t="shared" si="8"/>
        <v>0.875</v>
      </c>
      <c r="AO7" s="12">
        <v>28.2</v>
      </c>
      <c r="AP7" s="12">
        <v>6.2</v>
      </c>
      <c r="AQ7" s="12">
        <v>2.21</v>
      </c>
      <c r="AR7" s="12">
        <f t="shared" si="9"/>
        <v>1.105</v>
      </c>
      <c r="AS7" s="12">
        <v>28.3</v>
      </c>
      <c r="AT7" s="12">
        <v>6.1</v>
      </c>
      <c r="AU7" s="12">
        <v>2.23</v>
      </c>
      <c r="AV7" s="12">
        <f t="shared" si="10"/>
        <v>1.115</v>
      </c>
      <c r="AW7" s="12">
        <v>28.6</v>
      </c>
      <c r="AX7" s="12">
        <v>6.9</v>
      </c>
      <c r="AY7" s="12">
        <v>2.25</v>
      </c>
      <c r="AZ7" s="12">
        <f t="shared" si="11"/>
        <v>1.125</v>
      </c>
      <c r="BA7" s="12">
        <v>27.6</v>
      </c>
      <c r="BB7" s="12" t="s">
        <v>45</v>
      </c>
      <c r="BC7" s="12" t="s">
        <v>45</v>
      </c>
      <c r="BD7" s="12" t="s">
        <v>45</v>
      </c>
    </row>
    <row r="8" spans="1:56" ht="15.75" customHeight="1" x14ac:dyDescent="0.15">
      <c r="A8" s="19" t="s">
        <v>49</v>
      </c>
      <c r="B8" s="12">
        <v>5.9</v>
      </c>
      <c r="C8" s="12">
        <v>1.79</v>
      </c>
      <c r="D8" s="12">
        <f t="shared" si="0"/>
        <v>0.89500000000000002</v>
      </c>
      <c r="E8" s="12">
        <v>22.8</v>
      </c>
      <c r="F8" s="12">
        <v>5.8</v>
      </c>
      <c r="G8" s="12">
        <v>1.75</v>
      </c>
      <c r="H8" s="12">
        <f t="shared" si="1"/>
        <v>0.875</v>
      </c>
      <c r="I8" s="12">
        <v>24</v>
      </c>
      <c r="J8" s="12">
        <v>5.6</v>
      </c>
      <c r="K8" s="12">
        <v>1.78</v>
      </c>
      <c r="L8" s="12">
        <f t="shared" si="2"/>
        <v>0.89</v>
      </c>
      <c r="M8" s="12">
        <v>24.6</v>
      </c>
      <c r="N8" s="12">
        <v>5.8</v>
      </c>
      <c r="O8" s="12">
        <v>2.2200000000000002</v>
      </c>
      <c r="P8" s="12">
        <f t="shared" si="3"/>
        <v>1.1100000000000001</v>
      </c>
      <c r="Q8" s="12">
        <v>25.2</v>
      </c>
      <c r="R8" s="12">
        <v>6.5</v>
      </c>
      <c r="S8" s="12">
        <v>2.2400000000000002</v>
      </c>
      <c r="T8" s="12">
        <f t="shared" si="4"/>
        <v>1.1200000000000001</v>
      </c>
      <c r="U8" s="12">
        <v>24</v>
      </c>
      <c r="V8" s="12">
        <v>6.7</v>
      </c>
      <c r="W8" s="12">
        <v>2.25</v>
      </c>
      <c r="X8" s="12">
        <f t="shared" si="5"/>
        <v>1.125</v>
      </c>
      <c r="Y8" s="12">
        <v>24.7</v>
      </c>
      <c r="Z8" s="12" t="s">
        <v>45</v>
      </c>
      <c r="AA8" s="12" t="s">
        <v>45</v>
      </c>
      <c r="AB8" s="12" t="s">
        <v>45</v>
      </c>
      <c r="AC8" s="22"/>
      <c r="AD8" s="12">
        <v>6.1</v>
      </c>
      <c r="AE8" s="12">
        <v>1.79</v>
      </c>
      <c r="AF8" s="12">
        <f t="shared" si="6"/>
        <v>0.89500000000000002</v>
      </c>
      <c r="AG8" s="12">
        <v>28.3</v>
      </c>
      <c r="AH8" s="12">
        <v>5.9</v>
      </c>
      <c r="AI8" s="12">
        <v>1.74</v>
      </c>
      <c r="AJ8" s="12">
        <f t="shared" si="7"/>
        <v>0.87</v>
      </c>
      <c r="AK8" s="12">
        <v>27.8</v>
      </c>
      <c r="AL8" s="12">
        <v>5.8</v>
      </c>
      <c r="AM8" s="12">
        <v>1.78</v>
      </c>
      <c r="AN8" s="12">
        <f t="shared" si="8"/>
        <v>0.89</v>
      </c>
      <c r="AO8" s="12">
        <v>27.6</v>
      </c>
      <c r="AP8" s="12">
        <v>5.7</v>
      </c>
      <c r="AQ8" s="12">
        <v>2.2999999999999998</v>
      </c>
      <c r="AR8" s="12">
        <f t="shared" si="9"/>
        <v>1.1499999999999999</v>
      </c>
      <c r="AS8" s="12">
        <v>25.8</v>
      </c>
      <c r="AT8" s="12">
        <v>6</v>
      </c>
      <c r="AU8" s="12">
        <v>2.23</v>
      </c>
      <c r="AV8" s="12">
        <f t="shared" si="10"/>
        <v>1.115</v>
      </c>
      <c r="AW8" s="12">
        <v>27</v>
      </c>
      <c r="AX8" s="12">
        <v>5.7</v>
      </c>
      <c r="AY8" s="12">
        <v>2.2599999999999998</v>
      </c>
      <c r="AZ8" s="12">
        <f t="shared" si="11"/>
        <v>1.1299999999999999</v>
      </c>
      <c r="BA8" s="12">
        <v>27.8</v>
      </c>
      <c r="BB8" s="12" t="s">
        <v>45</v>
      </c>
      <c r="BC8" s="12" t="s">
        <v>45</v>
      </c>
      <c r="BD8" s="12" t="s">
        <v>45</v>
      </c>
    </row>
    <row r="9" spans="1:56" ht="15.75" customHeight="1" x14ac:dyDescent="0.15">
      <c r="A9" s="19" t="s">
        <v>50</v>
      </c>
      <c r="B9" s="12">
        <v>6</v>
      </c>
      <c r="C9" s="12">
        <v>1.78</v>
      </c>
      <c r="D9" s="12">
        <f t="shared" si="0"/>
        <v>0.89</v>
      </c>
      <c r="E9" s="12">
        <v>23.9</v>
      </c>
      <c r="F9" s="12">
        <v>5.7</v>
      </c>
      <c r="G9" s="12">
        <v>1.76</v>
      </c>
      <c r="H9" s="12">
        <f t="shared" si="1"/>
        <v>0.88</v>
      </c>
      <c r="I9" s="12">
        <v>23.1</v>
      </c>
      <c r="J9" s="12">
        <v>5.7</v>
      </c>
      <c r="K9" s="12">
        <v>1.75</v>
      </c>
      <c r="L9" s="12">
        <f t="shared" si="2"/>
        <v>0.875</v>
      </c>
      <c r="M9" s="12">
        <v>23.6</v>
      </c>
      <c r="N9" s="12">
        <v>5.8</v>
      </c>
      <c r="O9" s="12">
        <v>2.2000000000000002</v>
      </c>
      <c r="P9" s="12">
        <f t="shared" si="3"/>
        <v>1.1000000000000001</v>
      </c>
      <c r="Q9" s="12">
        <v>23.2</v>
      </c>
      <c r="R9" s="12">
        <v>5.9</v>
      </c>
      <c r="S9" s="12">
        <v>2.2200000000000002</v>
      </c>
      <c r="T9" s="12">
        <f t="shared" si="4"/>
        <v>1.1100000000000001</v>
      </c>
      <c r="U9" s="12">
        <v>25.4</v>
      </c>
      <c r="V9" s="12">
        <v>5.6</v>
      </c>
      <c r="W9" s="12">
        <v>2.2599999999999998</v>
      </c>
      <c r="X9" s="12">
        <f t="shared" si="5"/>
        <v>1.1299999999999999</v>
      </c>
      <c r="Y9" s="12">
        <v>24.9</v>
      </c>
      <c r="Z9" s="12" t="s">
        <v>45</v>
      </c>
      <c r="AA9" s="12" t="s">
        <v>45</v>
      </c>
      <c r="AB9" s="12" t="s">
        <v>45</v>
      </c>
      <c r="AC9" s="22"/>
      <c r="AD9" s="12">
        <v>6</v>
      </c>
      <c r="AE9" s="12">
        <v>1.78</v>
      </c>
      <c r="AF9" s="12">
        <f t="shared" si="6"/>
        <v>0.89</v>
      </c>
      <c r="AG9" s="12">
        <v>23.9</v>
      </c>
      <c r="AH9" s="12">
        <v>6.2</v>
      </c>
      <c r="AI9" s="12">
        <v>1.73</v>
      </c>
      <c r="AJ9" s="12">
        <f t="shared" si="7"/>
        <v>0.86499999999999999</v>
      </c>
      <c r="AK9" s="12">
        <v>25.8</v>
      </c>
      <c r="AL9" s="12">
        <v>6.2</v>
      </c>
      <c r="AM9" s="12">
        <v>1.73</v>
      </c>
      <c r="AN9" s="12">
        <f t="shared" si="8"/>
        <v>0.86499999999999999</v>
      </c>
      <c r="AO9" s="12">
        <v>26</v>
      </c>
      <c r="AP9" s="12">
        <v>6</v>
      </c>
      <c r="AQ9" s="12">
        <v>2.2599999999999998</v>
      </c>
      <c r="AR9" s="12">
        <f t="shared" si="9"/>
        <v>1.1299999999999999</v>
      </c>
      <c r="AS9" s="12">
        <v>26.2</v>
      </c>
      <c r="AT9" s="12">
        <v>6.1</v>
      </c>
      <c r="AU9" s="12">
        <v>2.23</v>
      </c>
      <c r="AV9" s="12">
        <f t="shared" si="10"/>
        <v>1.115</v>
      </c>
      <c r="AW9" s="12">
        <v>21.3</v>
      </c>
      <c r="AX9" s="12">
        <v>6.2</v>
      </c>
      <c r="AY9" s="12">
        <v>2.2400000000000002</v>
      </c>
      <c r="AZ9" s="12">
        <f t="shared" si="11"/>
        <v>1.1200000000000001</v>
      </c>
      <c r="BA9" s="12">
        <v>27.1</v>
      </c>
      <c r="BB9" s="12" t="s">
        <v>45</v>
      </c>
      <c r="BC9" s="12" t="s">
        <v>45</v>
      </c>
      <c r="BD9" s="12" t="s">
        <v>45</v>
      </c>
    </row>
    <row r="10" spans="1:56" ht="15.75" customHeight="1" x14ac:dyDescent="0.15">
      <c r="A10" s="19" t="s">
        <v>51</v>
      </c>
      <c r="B10" s="12">
        <v>6.2</v>
      </c>
      <c r="C10" s="12">
        <v>1.76</v>
      </c>
      <c r="D10" s="12">
        <f t="shared" si="0"/>
        <v>0.88</v>
      </c>
      <c r="E10" s="12">
        <v>23.6</v>
      </c>
      <c r="F10" s="12">
        <v>6</v>
      </c>
      <c r="G10" s="12">
        <v>1.71</v>
      </c>
      <c r="H10" s="12">
        <f t="shared" si="1"/>
        <v>0.85499999999999998</v>
      </c>
      <c r="I10" s="12">
        <v>23.8</v>
      </c>
      <c r="J10" s="12">
        <v>6.1</v>
      </c>
      <c r="K10" s="12">
        <v>1.73</v>
      </c>
      <c r="L10" s="12">
        <f t="shared" si="2"/>
        <v>0.86499999999999999</v>
      </c>
      <c r="M10" s="12">
        <v>25.4</v>
      </c>
      <c r="N10" s="12">
        <v>6.1</v>
      </c>
      <c r="O10" s="12">
        <v>2.16</v>
      </c>
      <c r="P10" s="12">
        <f t="shared" si="3"/>
        <v>1.08</v>
      </c>
      <c r="Q10" s="12">
        <v>24.2</v>
      </c>
      <c r="R10" s="12">
        <v>6</v>
      </c>
      <c r="S10" s="12">
        <v>2.2799999999999998</v>
      </c>
      <c r="T10" s="12">
        <f t="shared" si="4"/>
        <v>1.1399999999999999</v>
      </c>
      <c r="U10" s="12">
        <v>24.2</v>
      </c>
      <c r="V10" s="12">
        <v>5.8</v>
      </c>
      <c r="W10" s="12">
        <v>2.2200000000000002</v>
      </c>
      <c r="X10" s="12">
        <f t="shared" si="5"/>
        <v>1.1100000000000001</v>
      </c>
      <c r="Y10" s="12">
        <v>25.1</v>
      </c>
      <c r="Z10" s="12">
        <v>77040</v>
      </c>
      <c r="AA10" s="12">
        <v>24.2</v>
      </c>
      <c r="AB10" s="12">
        <v>55.3</v>
      </c>
      <c r="AC10" s="22"/>
      <c r="AD10" s="12">
        <v>6.1</v>
      </c>
      <c r="AE10" s="12">
        <v>1.75</v>
      </c>
      <c r="AF10" s="12">
        <f t="shared" si="6"/>
        <v>0.875</v>
      </c>
      <c r="AG10" s="12">
        <v>25.6</v>
      </c>
      <c r="AH10" s="12">
        <v>5.9</v>
      </c>
      <c r="AI10" s="12">
        <v>1.71</v>
      </c>
      <c r="AJ10" s="12">
        <f t="shared" si="7"/>
        <v>0.85499999999999998</v>
      </c>
      <c r="AK10" s="12">
        <v>25.6</v>
      </c>
      <c r="AL10" s="12">
        <v>6</v>
      </c>
      <c r="AM10" s="12">
        <v>1.73</v>
      </c>
      <c r="AN10" s="12">
        <f t="shared" si="8"/>
        <v>0.86499999999999999</v>
      </c>
      <c r="AO10" s="12">
        <v>25.4</v>
      </c>
      <c r="AP10" s="12">
        <v>6.1</v>
      </c>
      <c r="AQ10" s="12">
        <v>2.17</v>
      </c>
      <c r="AR10" s="12">
        <f t="shared" si="9"/>
        <v>1.085</v>
      </c>
      <c r="AS10" s="12">
        <v>25.7</v>
      </c>
      <c r="AT10" s="12">
        <v>5.9</v>
      </c>
      <c r="AU10" s="12">
        <v>2.2799999999999998</v>
      </c>
      <c r="AV10" s="12">
        <f t="shared" si="10"/>
        <v>1.1399999999999999</v>
      </c>
      <c r="AW10" s="12">
        <v>25.7</v>
      </c>
      <c r="AX10" s="12">
        <v>5.8</v>
      </c>
      <c r="AY10" s="12">
        <v>2.2200000000000002</v>
      </c>
      <c r="AZ10" s="12">
        <f t="shared" si="11"/>
        <v>1.1100000000000001</v>
      </c>
      <c r="BA10" s="12">
        <v>27</v>
      </c>
      <c r="BB10" s="12">
        <v>79490</v>
      </c>
      <c r="BC10" s="12">
        <v>24.9</v>
      </c>
      <c r="BD10" s="12">
        <v>55.6</v>
      </c>
    </row>
    <row r="11" spans="1:56" ht="15.75" customHeight="1" x14ac:dyDescent="0.15">
      <c r="A11" s="19" t="s">
        <v>52</v>
      </c>
      <c r="B11" s="12">
        <v>5.7</v>
      </c>
      <c r="C11" s="12">
        <v>1.76</v>
      </c>
      <c r="D11" s="12">
        <f t="shared" si="0"/>
        <v>0.88</v>
      </c>
      <c r="E11" s="12">
        <v>24.3</v>
      </c>
      <c r="F11" s="12">
        <v>5.5</v>
      </c>
      <c r="G11" s="12">
        <v>1.71</v>
      </c>
      <c r="H11" s="12">
        <f t="shared" si="1"/>
        <v>0.85499999999999998</v>
      </c>
      <c r="I11" s="12">
        <v>24.5</v>
      </c>
      <c r="J11" s="12">
        <v>5.7</v>
      </c>
      <c r="K11" s="12">
        <v>1.73</v>
      </c>
      <c r="L11" s="12">
        <f t="shared" si="2"/>
        <v>0.86499999999999999</v>
      </c>
      <c r="M11" s="12">
        <v>24.3</v>
      </c>
      <c r="N11" s="12">
        <v>5.7</v>
      </c>
      <c r="O11" s="12">
        <v>2.1800000000000002</v>
      </c>
      <c r="P11" s="12">
        <f t="shared" si="3"/>
        <v>1.0900000000000001</v>
      </c>
      <c r="Q11" s="12">
        <v>24.8</v>
      </c>
      <c r="R11" s="12">
        <v>5.6</v>
      </c>
      <c r="S11" s="12">
        <v>2.29</v>
      </c>
      <c r="T11" s="12">
        <f t="shared" si="4"/>
        <v>1.145</v>
      </c>
      <c r="U11" s="12">
        <v>24.8</v>
      </c>
      <c r="V11" s="12">
        <v>5.5</v>
      </c>
      <c r="W11" s="12">
        <v>2.23</v>
      </c>
      <c r="X11" s="12">
        <f t="shared" si="5"/>
        <v>1.115</v>
      </c>
      <c r="Y11" s="12">
        <v>26.2</v>
      </c>
      <c r="Z11" s="12">
        <v>70360</v>
      </c>
      <c r="AA11" s="12">
        <v>28.5</v>
      </c>
      <c r="AB11" s="12">
        <v>53.6</v>
      </c>
      <c r="AC11" s="22"/>
      <c r="AD11" s="12">
        <v>5.7</v>
      </c>
      <c r="AE11" s="12">
        <v>1.76</v>
      </c>
      <c r="AF11" s="12">
        <f t="shared" si="6"/>
        <v>0.88</v>
      </c>
      <c r="AG11" s="12">
        <v>27.3</v>
      </c>
      <c r="AH11" s="12">
        <v>5.7</v>
      </c>
      <c r="AI11" s="12">
        <v>1.73</v>
      </c>
      <c r="AJ11" s="12">
        <f t="shared" si="7"/>
        <v>0.86499999999999999</v>
      </c>
      <c r="AK11" s="12">
        <v>27.4</v>
      </c>
      <c r="AL11" s="12">
        <v>5.8</v>
      </c>
      <c r="AM11" s="12">
        <v>1.76</v>
      </c>
      <c r="AN11" s="12">
        <f t="shared" si="8"/>
        <v>0.88</v>
      </c>
      <c r="AO11" s="12">
        <v>27.6</v>
      </c>
      <c r="AP11" s="12">
        <v>5.8</v>
      </c>
      <c r="AQ11" s="12">
        <v>2.1800000000000002</v>
      </c>
      <c r="AR11" s="12">
        <f t="shared" si="9"/>
        <v>1.0900000000000001</v>
      </c>
      <c r="AS11" s="12">
        <v>22.9</v>
      </c>
      <c r="AT11" s="12">
        <v>5.7</v>
      </c>
      <c r="AU11" s="12">
        <v>2.2999999999999998</v>
      </c>
      <c r="AV11" s="12">
        <f t="shared" si="10"/>
        <v>1.1499999999999999</v>
      </c>
      <c r="AW11" s="12">
        <v>28</v>
      </c>
      <c r="AX11" s="12">
        <v>5.6</v>
      </c>
      <c r="AY11" s="12">
        <v>2.23</v>
      </c>
      <c r="AZ11" s="12">
        <f t="shared" si="11"/>
        <v>1.115</v>
      </c>
      <c r="BA11" s="12">
        <v>28.2</v>
      </c>
      <c r="BB11" s="12">
        <v>6212</v>
      </c>
      <c r="BC11" s="12">
        <v>28.1</v>
      </c>
      <c r="BD11" s="12">
        <v>55.3</v>
      </c>
    </row>
    <row r="12" spans="1:56" ht="15.75" customHeight="1" x14ac:dyDescent="0.15">
      <c r="A12" s="19" t="s">
        <v>53</v>
      </c>
      <c r="B12" s="12">
        <v>6</v>
      </c>
      <c r="C12" s="12">
        <v>1.75</v>
      </c>
      <c r="D12" s="12">
        <f t="shared" si="0"/>
        <v>0.875</v>
      </c>
      <c r="E12" s="12">
        <v>25</v>
      </c>
      <c r="F12" s="12">
        <v>5.8</v>
      </c>
      <c r="G12" s="12">
        <v>1.71</v>
      </c>
      <c r="H12" s="12">
        <f t="shared" si="1"/>
        <v>0.85499999999999998</v>
      </c>
      <c r="I12" s="12">
        <v>25.2</v>
      </c>
      <c r="J12" s="12">
        <v>5.9</v>
      </c>
      <c r="K12" s="12">
        <v>1.72</v>
      </c>
      <c r="L12" s="12">
        <f t="shared" si="2"/>
        <v>0.86</v>
      </c>
      <c r="M12" s="12">
        <v>25.4</v>
      </c>
      <c r="N12" s="12">
        <v>5.8</v>
      </c>
      <c r="O12" s="12">
        <v>2.1800000000000002</v>
      </c>
      <c r="P12" s="12">
        <f t="shared" si="3"/>
        <v>1.0900000000000001</v>
      </c>
      <c r="Q12" s="12">
        <v>25.6</v>
      </c>
      <c r="R12" s="12">
        <v>5.8</v>
      </c>
      <c r="S12" s="12">
        <v>2.2200000000000002</v>
      </c>
      <c r="T12" s="12">
        <f t="shared" si="4"/>
        <v>1.1100000000000001</v>
      </c>
      <c r="U12" s="12">
        <v>25.8</v>
      </c>
      <c r="V12" s="12">
        <v>5.7</v>
      </c>
      <c r="W12" s="12">
        <v>2.2400000000000002</v>
      </c>
      <c r="X12" s="12">
        <f t="shared" si="5"/>
        <v>1.1200000000000001</v>
      </c>
      <c r="Y12" s="12">
        <v>26.7</v>
      </c>
      <c r="Z12" s="12">
        <v>7254</v>
      </c>
      <c r="AA12" s="12">
        <v>23.9</v>
      </c>
      <c r="AB12" s="12">
        <v>44.2</v>
      </c>
      <c r="AC12" s="22"/>
      <c r="AD12" s="12">
        <v>5.9</v>
      </c>
      <c r="AE12" s="12">
        <v>1.75</v>
      </c>
      <c r="AF12" s="12">
        <f t="shared" si="6"/>
        <v>0.875</v>
      </c>
      <c r="AG12" s="12">
        <v>27.5</v>
      </c>
      <c r="AH12" s="12">
        <v>5.9</v>
      </c>
      <c r="AI12" s="12">
        <v>1.74</v>
      </c>
      <c r="AJ12" s="12">
        <f t="shared" si="7"/>
        <v>0.87</v>
      </c>
      <c r="AK12" s="12">
        <v>27.9</v>
      </c>
      <c r="AL12" s="12">
        <v>5.8</v>
      </c>
      <c r="AM12" s="12">
        <v>1.76</v>
      </c>
      <c r="AN12" s="12">
        <f t="shared" si="8"/>
        <v>0.88</v>
      </c>
      <c r="AO12" s="12">
        <v>28.2</v>
      </c>
      <c r="AP12" s="12">
        <v>5.7</v>
      </c>
      <c r="AQ12" s="12">
        <v>2.2000000000000002</v>
      </c>
      <c r="AR12" s="12">
        <f t="shared" si="9"/>
        <v>1.1000000000000001</v>
      </c>
      <c r="AS12" s="12">
        <v>28.9</v>
      </c>
      <c r="AT12" s="12">
        <v>5.7</v>
      </c>
      <c r="AU12" s="12">
        <v>2.21</v>
      </c>
      <c r="AV12" s="12">
        <f t="shared" si="10"/>
        <v>1.105</v>
      </c>
      <c r="AW12" s="12">
        <v>29</v>
      </c>
      <c r="AX12" s="12">
        <v>5.6</v>
      </c>
      <c r="AY12" s="12">
        <v>2.25</v>
      </c>
      <c r="AZ12" s="12">
        <f t="shared" si="11"/>
        <v>1.125</v>
      </c>
      <c r="BA12" s="12">
        <v>29.8</v>
      </c>
      <c r="BB12" s="12">
        <v>5162</v>
      </c>
      <c r="BC12" s="12">
        <v>25.6</v>
      </c>
      <c r="BD12" s="12">
        <v>62.1</v>
      </c>
    </row>
    <row r="13" spans="1:56" ht="15.75" customHeight="1" x14ac:dyDescent="0.15">
      <c r="A13" s="19" t="s">
        <v>54</v>
      </c>
      <c r="B13" s="12">
        <v>6</v>
      </c>
      <c r="C13" s="12">
        <v>1.76</v>
      </c>
      <c r="D13" s="12">
        <f t="shared" si="0"/>
        <v>0.88</v>
      </c>
      <c r="E13" s="12">
        <v>24</v>
      </c>
      <c r="F13" s="12">
        <v>5.7</v>
      </c>
      <c r="G13" s="12">
        <v>1.7</v>
      </c>
      <c r="H13" s="12">
        <f t="shared" si="1"/>
        <v>0.85</v>
      </c>
      <c r="I13" s="12">
        <v>24</v>
      </c>
      <c r="J13" s="12">
        <v>5.8</v>
      </c>
      <c r="K13" s="12">
        <v>1.75</v>
      </c>
      <c r="L13" s="12">
        <f t="shared" si="2"/>
        <v>0.875</v>
      </c>
      <c r="M13" s="12">
        <v>27</v>
      </c>
      <c r="N13" s="12">
        <v>5.8</v>
      </c>
      <c r="O13" s="12">
        <v>1.75</v>
      </c>
      <c r="P13" s="12">
        <f t="shared" si="3"/>
        <v>0.875</v>
      </c>
      <c r="Q13" s="12">
        <v>24.2</v>
      </c>
      <c r="R13" s="12">
        <v>5.6</v>
      </c>
      <c r="S13" s="12">
        <v>2.31</v>
      </c>
      <c r="T13" s="12">
        <f t="shared" si="4"/>
        <v>1.155</v>
      </c>
      <c r="U13" s="12">
        <v>24.5</v>
      </c>
      <c r="V13" s="12">
        <v>5.5</v>
      </c>
      <c r="W13" s="12">
        <v>2.25</v>
      </c>
      <c r="X13" s="12">
        <f t="shared" si="5"/>
        <v>1.125</v>
      </c>
      <c r="Y13" s="12">
        <v>24.5</v>
      </c>
      <c r="Z13" s="12">
        <v>36640</v>
      </c>
      <c r="AA13" s="12">
        <v>27.4</v>
      </c>
      <c r="AB13" s="12">
        <v>70.2</v>
      </c>
      <c r="AC13" s="22"/>
      <c r="AD13" s="12">
        <v>6</v>
      </c>
      <c r="AE13" s="12">
        <v>1.76</v>
      </c>
      <c r="AF13" s="12">
        <f t="shared" si="6"/>
        <v>0.88</v>
      </c>
      <c r="AG13" s="12">
        <v>27</v>
      </c>
      <c r="AH13" s="12">
        <v>5.8</v>
      </c>
      <c r="AI13" s="12">
        <v>1.7</v>
      </c>
      <c r="AJ13" s="12">
        <f t="shared" si="7"/>
        <v>0.85</v>
      </c>
      <c r="AK13" s="12">
        <v>27</v>
      </c>
      <c r="AL13" s="12">
        <v>5.9</v>
      </c>
      <c r="AM13" s="12">
        <v>1.74</v>
      </c>
      <c r="AN13" s="12">
        <f t="shared" si="8"/>
        <v>0.87</v>
      </c>
      <c r="AO13" s="12">
        <v>27</v>
      </c>
      <c r="AP13" s="12">
        <v>5.6</v>
      </c>
      <c r="AQ13" s="12">
        <v>2.2000000000000002</v>
      </c>
      <c r="AR13" s="12">
        <f t="shared" si="9"/>
        <v>1.1000000000000001</v>
      </c>
      <c r="AS13" s="12">
        <v>27.5</v>
      </c>
      <c r="AT13" s="12">
        <v>5.5</v>
      </c>
      <c r="AU13" s="12">
        <v>2.2999999999999998</v>
      </c>
      <c r="AV13" s="12">
        <f t="shared" si="10"/>
        <v>1.1499999999999999</v>
      </c>
      <c r="AW13" s="12">
        <v>27.6</v>
      </c>
      <c r="AX13" s="12">
        <v>5.5</v>
      </c>
      <c r="AY13" s="12">
        <v>2.2599999999999998</v>
      </c>
      <c r="AZ13" s="12">
        <f t="shared" si="11"/>
        <v>1.1299999999999999</v>
      </c>
      <c r="BA13" s="12">
        <v>27.6</v>
      </c>
      <c r="BB13" s="12">
        <v>49230</v>
      </c>
      <c r="BC13" s="12">
        <v>31.4</v>
      </c>
      <c r="BD13" s="12">
        <v>59.8</v>
      </c>
    </row>
    <row r="14" spans="1:56" ht="15.75" customHeight="1" x14ac:dyDescent="0.15">
      <c r="A14" s="19" t="s">
        <v>55</v>
      </c>
      <c r="B14" s="12">
        <v>6</v>
      </c>
      <c r="C14" s="12">
        <v>1.75</v>
      </c>
      <c r="D14" s="12">
        <f t="shared" si="0"/>
        <v>0.875</v>
      </c>
      <c r="E14" s="12">
        <v>23.6</v>
      </c>
      <c r="F14" s="12">
        <v>5.7</v>
      </c>
      <c r="G14" s="12">
        <v>1.7</v>
      </c>
      <c r="H14" s="12">
        <f t="shared" si="1"/>
        <v>0.85</v>
      </c>
      <c r="I14" s="12">
        <v>23.5</v>
      </c>
      <c r="J14" s="12">
        <v>5.9</v>
      </c>
      <c r="K14" s="12">
        <v>1.75</v>
      </c>
      <c r="L14" s="12">
        <f t="shared" si="2"/>
        <v>0.875</v>
      </c>
      <c r="M14" s="12">
        <v>23.6</v>
      </c>
      <c r="N14" s="12">
        <v>5.6</v>
      </c>
      <c r="O14" s="12">
        <v>2.2000000000000002</v>
      </c>
      <c r="P14" s="12">
        <f t="shared" si="3"/>
        <v>1.1000000000000001</v>
      </c>
      <c r="Q14" s="12">
        <v>23.7</v>
      </c>
      <c r="R14" s="12">
        <v>5.7</v>
      </c>
      <c r="S14" s="12">
        <v>2.2999999999999998</v>
      </c>
      <c r="T14" s="12">
        <f t="shared" si="4"/>
        <v>1.1499999999999999</v>
      </c>
      <c r="U14" s="12">
        <v>23.9</v>
      </c>
      <c r="V14" s="12">
        <v>5.5</v>
      </c>
      <c r="W14" s="12">
        <v>2.25</v>
      </c>
      <c r="X14" s="12">
        <f t="shared" si="5"/>
        <v>1.125</v>
      </c>
      <c r="Y14" s="12">
        <v>23.8</v>
      </c>
      <c r="Z14" s="12">
        <v>20070</v>
      </c>
      <c r="AA14" s="12">
        <v>26</v>
      </c>
      <c r="AB14" s="12">
        <v>72.3</v>
      </c>
      <c r="AC14" s="22"/>
      <c r="AD14" s="12">
        <v>6</v>
      </c>
      <c r="AE14" s="12">
        <v>1.75</v>
      </c>
      <c r="AF14" s="12">
        <f t="shared" si="6"/>
        <v>0.875</v>
      </c>
      <c r="AG14" s="12">
        <v>26.2</v>
      </c>
      <c r="AH14" s="12">
        <v>5.7</v>
      </c>
      <c r="AI14" s="12">
        <v>1.7</v>
      </c>
      <c r="AJ14" s="12">
        <f t="shared" si="7"/>
        <v>0.85</v>
      </c>
      <c r="AK14" s="12">
        <v>26.4</v>
      </c>
      <c r="AL14" s="12">
        <v>5.9</v>
      </c>
      <c r="AM14" s="12">
        <v>1.74</v>
      </c>
      <c r="AN14" s="12">
        <f t="shared" si="8"/>
        <v>0.87</v>
      </c>
      <c r="AO14" s="12">
        <v>26.5</v>
      </c>
      <c r="AP14" s="12">
        <v>5.7</v>
      </c>
      <c r="AQ14" s="12">
        <v>2.2000000000000002</v>
      </c>
      <c r="AR14" s="12">
        <f t="shared" si="9"/>
        <v>1.1000000000000001</v>
      </c>
      <c r="AS14" s="12">
        <v>26.7</v>
      </c>
      <c r="AT14" s="12">
        <v>5.7</v>
      </c>
      <c r="AU14" s="12">
        <v>2.29</v>
      </c>
      <c r="AV14" s="12">
        <f t="shared" si="10"/>
        <v>1.145</v>
      </c>
      <c r="AW14" s="12">
        <v>26.9</v>
      </c>
      <c r="AX14" s="12">
        <v>5.6</v>
      </c>
      <c r="AY14" s="12">
        <v>2.23</v>
      </c>
      <c r="AZ14" s="12">
        <f t="shared" si="11"/>
        <v>1.115</v>
      </c>
      <c r="BA14" s="12">
        <v>27</v>
      </c>
      <c r="BB14" s="12">
        <v>46260</v>
      </c>
      <c r="BC14" s="12">
        <v>29.5</v>
      </c>
      <c r="BD14" s="12">
        <v>60.2</v>
      </c>
    </row>
    <row r="15" spans="1:56" ht="15.75" customHeight="1" x14ac:dyDescent="0.15">
      <c r="A15" s="19" t="s">
        <v>56</v>
      </c>
      <c r="B15" s="12">
        <v>6.2</v>
      </c>
      <c r="C15" s="12">
        <v>1.72</v>
      </c>
      <c r="D15" s="12">
        <f t="shared" si="0"/>
        <v>0.86</v>
      </c>
      <c r="E15" s="12">
        <v>22</v>
      </c>
      <c r="F15" s="12">
        <v>5.9</v>
      </c>
      <c r="G15" s="12">
        <v>1.7</v>
      </c>
      <c r="H15" s="12">
        <f t="shared" si="1"/>
        <v>0.85</v>
      </c>
      <c r="I15" s="12">
        <v>22</v>
      </c>
      <c r="J15" s="12">
        <v>6</v>
      </c>
      <c r="K15" s="12">
        <v>1.73</v>
      </c>
      <c r="L15" s="12">
        <f t="shared" si="2"/>
        <v>0.86499999999999999</v>
      </c>
      <c r="M15" s="12">
        <v>22.2</v>
      </c>
      <c r="N15" s="12">
        <v>5.8</v>
      </c>
      <c r="O15" s="12">
        <v>2.2000000000000002</v>
      </c>
      <c r="P15" s="12">
        <f t="shared" si="3"/>
        <v>1.1000000000000001</v>
      </c>
      <c r="Q15" s="12">
        <v>22.2</v>
      </c>
      <c r="R15" s="12">
        <v>5.9</v>
      </c>
      <c r="S15" s="12">
        <v>2.2999999999999998</v>
      </c>
      <c r="T15" s="12">
        <f t="shared" si="4"/>
        <v>1.1499999999999999</v>
      </c>
      <c r="U15" s="12">
        <v>22.3</v>
      </c>
      <c r="V15" s="12">
        <v>5.7</v>
      </c>
      <c r="W15" s="12">
        <v>2.2400000000000002</v>
      </c>
      <c r="X15" s="12">
        <f t="shared" si="5"/>
        <v>1.1200000000000001</v>
      </c>
      <c r="Y15" s="12">
        <v>22.4</v>
      </c>
      <c r="Z15" s="12">
        <v>13230</v>
      </c>
      <c r="AA15" s="12">
        <v>24.5</v>
      </c>
      <c r="AB15" s="12">
        <v>71</v>
      </c>
      <c r="AC15" s="22"/>
      <c r="AD15" s="12">
        <v>6.2</v>
      </c>
      <c r="AE15" s="12">
        <v>1.71</v>
      </c>
      <c r="AF15" s="12">
        <f t="shared" si="6"/>
        <v>0.85499999999999998</v>
      </c>
      <c r="AG15" s="12">
        <v>26</v>
      </c>
      <c r="AH15" s="12">
        <v>6</v>
      </c>
      <c r="AI15" s="12">
        <v>1.7</v>
      </c>
      <c r="AJ15" s="12">
        <f t="shared" si="7"/>
        <v>0.85</v>
      </c>
      <c r="AK15" s="12">
        <v>26.2</v>
      </c>
      <c r="AL15" s="12">
        <v>6</v>
      </c>
      <c r="AM15" s="12">
        <v>1.72</v>
      </c>
      <c r="AN15" s="12">
        <f t="shared" si="8"/>
        <v>0.86</v>
      </c>
      <c r="AO15" s="12">
        <v>26.4</v>
      </c>
      <c r="AP15" s="12">
        <v>5.9</v>
      </c>
      <c r="AQ15" s="12">
        <v>2.19</v>
      </c>
      <c r="AR15" s="12">
        <f t="shared" si="9"/>
        <v>1.095</v>
      </c>
      <c r="AS15" s="12">
        <v>26.4</v>
      </c>
      <c r="AT15" s="12">
        <v>5.9</v>
      </c>
      <c r="AU15" s="12">
        <v>2.2999999999999998</v>
      </c>
      <c r="AV15" s="12">
        <f t="shared" si="10"/>
        <v>1.1499999999999999</v>
      </c>
      <c r="AW15" s="12">
        <v>26.5</v>
      </c>
      <c r="AX15" s="12">
        <v>5.8</v>
      </c>
      <c r="AY15" s="12">
        <v>2.23</v>
      </c>
      <c r="AZ15" s="12">
        <f t="shared" si="11"/>
        <v>1.115</v>
      </c>
      <c r="BA15" s="12">
        <v>26.5</v>
      </c>
      <c r="BB15" s="12">
        <v>29810</v>
      </c>
      <c r="BC15" s="12">
        <v>26.2</v>
      </c>
      <c r="BD15" s="12">
        <v>61.2</v>
      </c>
    </row>
    <row r="16" spans="1:56" ht="15.75" customHeight="1" x14ac:dyDescent="0.15">
      <c r="A16" s="19" t="s">
        <v>57</v>
      </c>
      <c r="B16" s="12">
        <v>6.2</v>
      </c>
      <c r="C16" s="12">
        <v>1.71</v>
      </c>
      <c r="D16" s="12">
        <f t="shared" si="0"/>
        <v>0.85499999999999998</v>
      </c>
      <c r="E16" s="12">
        <v>22</v>
      </c>
      <c r="F16" s="12">
        <v>5.9</v>
      </c>
      <c r="G16" s="12">
        <v>1.7</v>
      </c>
      <c r="H16" s="12">
        <f t="shared" si="1"/>
        <v>0.85</v>
      </c>
      <c r="I16" s="12">
        <v>22</v>
      </c>
      <c r="J16" s="12">
        <v>6</v>
      </c>
      <c r="K16" s="12">
        <v>1.72</v>
      </c>
      <c r="L16" s="12">
        <f t="shared" si="2"/>
        <v>0.86</v>
      </c>
      <c r="M16" s="12">
        <v>22.33</v>
      </c>
      <c r="N16" s="12">
        <v>5.9</v>
      </c>
      <c r="O16" s="12">
        <v>2.2000000000000002</v>
      </c>
      <c r="P16" s="12">
        <f t="shared" si="3"/>
        <v>1.1000000000000001</v>
      </c>
      <c r="Q16" s="12">
        <v>22.3</v>
      </c>
      <c r="R16" s="12">
        <v>5.9</v>
      </c>
      <c r="S16" s="12">
        <v>2.2999999999999998</v>
      </c>
      <c r="T16" s="12">
        <f t="shared" si="4"/>
        <v>1.1499999999999999</v>
      </c>
      <c r="U16" s="12">
        <v>26.4</v>
      </c>
      <c r="V16" s="12">
        <v>5.7</v>
      </c>
      <c r="W16" s="12">
        <v>2.2400000000000002</v>
      </c>
      <c r="X16" s="12">
        <f t="shared" si="5"/>
        <v>1.1200000000000001</v>
      </c>
      <c r="Y16" s="12">
        <v>22.3</v>
      </c>
      <c r="Z16" s="12">
        <v>25030</v>
      </c>
      <c r="AA16" s="12">
        <v>23.7</v>
      </c>
      <c r="AB16" s="12">
        <v>72.5</v>
      </c>
      <c r="AC16" s="22"/>
      <c r="AD16" s="12">
        <v>6.2</v>
      </c>
      <c r="AE16" s="12">
        <v>1.71</v>
      </c>
      <c r="AF16" s="12">
        <f t="shared" si="6"/>
        <v>0.85499999999999998</v>
      </c>
      <c r="AG16" s="12">
        <v>26</v>
      </c>
      <c r="AH16" s="12">
        <v>5.9</v>
      </c>
      <c r="AI16" s="12">
        <v>1.7</v>
      </c>
      <c r="AJ16" s="12">
        <f t="shared" si="7"/>
        <v>0.85</v>
      </c>
      <c r="AK16" s="12">
        <v>26.2</v>
      </c>
      <c r="AL16" s="12" t="s">
        <v>45</v>
      </c>
      <c r="AM16" s="12" t="s">
        <v>45</v>
      </c>
      <c r="AN16" s="12" t="s">
        <v>45</v>
      </c>
      <c r="AO16" s="12" t="s">
        <v>45</v>
      </c>
      <c r="AP16" s="12">
        <v>5.9</v>
      </c>
      <c r="AQ16" s="12">
        <v>2.2000000000000002</v>
      </c>
      <c r="AR16" s="12">
        <f t="shared" si="9"/>
        <v>1.1000000000000001</v>
      </c>
      <c r="AS16" s="12">
        <v>26.2</v>
      </c>
      <c r="AT16" s="12">
        <v>5.9</v>
      </c>
      <c r="AU16" s="12">
        <v>2.2999999999999998</v>
      </c>
      <c r="AV16" s="12">
        <f t="shared" si="10"/>
        <v>1.1499999999999999</v>
      </c>
      <c r="AW16" s="12">
        <v>26.4</v>
      </c>
      <c r="AX16" s="12">
        <v>5.7</v>
      </c>
      <c r="AY16" s="12">
        <v>2.2400000000000002</v>
      </c>
      <c r="AZ16" s="12">
        <f t="shared" si="11"/>
        <v>1.1200000000000001</v>
      </c>
      <c r="BA16" s="12">
        <v>26.5</v>
      </c>
      <c r="BB16" s="12">
        <v>32660</v>
      </c>
      <c r="BC16" s="12">
        <v>25.5</v>
      </c>
      <c r="BD16" s="12">
        <v>67.3</v>
      </c>
    </row>
    <row r="17" spans="1:56" ht="15.75" customHeight="1" x14ac:dyDescent="0.15">
      <c r="A17" s="19" t="s">
        <v>58</v>
      </c>
      <c r="B17" s="12">
        <v>6.1</v>
      </c>
      <c r="C17" s="12">
        <v>1.72</v>
      </c>
      <c r="D17" s="12">
        <f t="shared" si="0"/>
        <v>0.86</v>
      </c>
      <c r="E17" s="12">
        <v>22</v>
      </c>
      <c r="F17" s="12">
        <v>6.2</v>
      </c>
      <c r="G17" s="12">
        <v>1.7</v>
      </c>
      <c r="H17" s="12">
        <f t="shared" si="1"/>
        <v>0.85</v>
      </c>
      <c r="I17" s="12">
        <v>22</v>
      </c>
      <c r="J17" s="12">
        <v>6</v>
      </c>
      <c r="K17" s="12">
        <v>1.7</v>
      </c>
      <c r="L17" s="12">
        <f t="shared" si="2"/>
        <v>0.85</v>
      </c>
      <c r="M17" s="12">
        <v>22.2</v>
      </c>
      <c r="N17" s="12">
        <v>6</v>
      </c>
      <c r="O17" s="12">
        <v>1.71</v>
      </c>
      <c r="P17" s="12">
        <f t="shared" si="3"/>
        <v>0.85499999999999998</v>
      </c>
      <c r="Q17" s="12">
        <v>22.4</v>
      </c>
      <c r="R17" s="12">
        <v>5.9</v>
      </c>
      <c r="S17" s="12">
        <v>2.29</v>
      </c>
      <c r="T17" s="12">
        <f t="shared" si="4"/>
        <v>1.145</v>
      </c>
      <c r="U17" s="12">
        <v>22.5</v>
      </c>
      <c r="V17" s="12">
        <v>5.8</v>
      </c>
      <c r="W17" s="12">
        <v>2.2200000000000002</v>
      </c>
      <c r="X17" s="12">
        <f t="shared" si="5"/>
        <v>1.1100000000000001</v>
      </c>
      <c r="Y17" s="12">
        <v>22.5</v>
      </c>
      <c r="Z17" s="12">
        <v>26630</v>
      </c>
      <c r="AA17" s="12">
        <v>22</v>
      </c>
      <c r="AB17" s="12">
        <v>70</v>
      </c>
      <c r="AC17" s="22"/>
      <c r="AD17" s="12">
        <v>6.1</v>
      </c>
      <c r="AE17" s="12">
        <v>1.72</v>
      </c>
      <c r="AF17" s="12">
        <f t="shared" si="6"/>
        <v>0.86</v>
      </c>
      <c r="AG17" s="12">
        <v>25</v>
      </c>
      <c r="AH17" s="12">
        <v>6.3</v>
      </c>
      <c r="AI17" s="12">
        <v>1.7</v>
      </c>
      <c r="AJ17" s="12">
        <f t="shared" si="7"/>
        <v>0.85</v>
      </c>
      <c r="AK17" s="12">
        <v>25.2</v>
      </c>
      <c r="AL17" s="12">
        <v>6.1</v>
      </c>
      <c r="AM17" s="12">
        <v>1.7</v>
      </c>
      <c r="AN17" s="12">
        <f t="shared" ref="AN17:AN18" si="12">AM17/2</f>
        <v>0.85</v>
      </c>
      <c r="AO17" s="12">
        <v>25.2</v>
      </c>
      <c r="AP17" s="12">
        <v>6</v>
      </c>
      <c r="AQ17" s="12">
        <v>1.7</v>
      </c>
      <c r="AR17" s="12">
        <f t="shared" si="9"/>
        <v>0.85</v>
      </c>
      <c r="AS17" s="12">
        <v>25.3</v>
      </c>
      <c r="AT17" s="12">
        <v>6</v>
      </c>
      <c r="AU17" s="12">
        <v>2.29</v>
      </c>
      <c r="AV17" s="12">
        <f t="shared" si="10"/>
        <v>1.145</v>
      </c>
      <c r="AW17" s="12">
        <v>25.4</v>
      </c>
      <c r="AX17" s="12">
        <v>5.8</v>
      </c>
      <c r="AY17" s="12">
        <v>2.2200000000000002</v>
      </c>
      <c r="AZ17" s="12">
        <f t="shared" si="11"/>
        <v>1.1100000000000001</v>
      </c>
      <c r="BA17" s="12">
        <v>25.3</v>
      </c>
      <c r="BB17" s="12">
        <v>36260</v>
      </c>
      <c r="BC17" s="12">
        <v>25</v>
      </c>
      <c r="BD17" s="12">
        <v>70.2</v>
      </c>
    </row>
    <row r="18" spans="1:56" ht="15.75" customHeight="1" x14ac:dyDescent="0.15">
      <c r="A18" s="19" t="s">
        <v>59</v>
      </c>
      <c r="B18" s="12">
        <v>6.4</v>
      </c>
      <c r="C18" s="12">
        <v>1.74</v>
      </c>
      <c r="D18" s="12">
        <f t="shared" si="0"/>
        <v>0.87</v>
      </c>
      <c r="E18" s="12">
        <v>23.2</v>
      </c>
      <c r="F18" s="12">
        <v>6.2</v>
      </c>
      <c r="G18" s="12">
        <v>1.64</v>
      </c>
      <c r="H18" s="12">
        <f t="shared" si="1"/>
        <v>0.82</v>
      </c>
      <c r="I18" s="12">
        <v>23.2</v>
      </c>
      <c r="J18" s="12">
        <v>6.2</v>
      </c>
      <c r="K18" s="12">
        <v>1.79</v>
      </c>
      <c r="L18" s="12">
        <f t="shared" si="2"/>
        <v>0.89500000000000002</v>
      </c>
      <c r="M18" s="12">
        <v>23.2</v>
      </c>
      <c r="N18" s="12">
        <v>6</v>
      </c>
      <c r="O18" s="12">
        <v>2.19</v>
      </c>
      <c r="P18" s="12">
        <f t="shared" si="3"/>
        <v>1.095</v>
      </c>
      <c r="Q18" s="12">
        <v>23.2</v>
      </c>
      <c r="R18" s="12">
        <v>6.1</v>
      </c>
      <c r="S18" s="12">
        <v>2.2200000000000002</v>
      </c>
      <c r="T18" s="12">
        <f t="shared" si="4"/>
        <v>1.1100000000000001</v>
      </c>
      <c r="U18" s="12">
        <v>23.5</v>
      </c>
      <c r="V18" s="12">
        <v>6</v>
      </c>
      <c r="W18" s="12">
        <v>2.1800000000000002</v>
      </c>
      <c r="X18" s="12">
        <f t="shared" si="5"/>
        <v>1.0900000000000001</v>
      </c>
      <c r="Y18" s="12">
        <v>23.5</v>
      </c>
      <c r="Z18" s="12">
        <v>33450</v>
      </c>
      <c r="AA18" s="12">
        <v>24.1</v>
      </c>
      <c r="AB18" s="12">
        <v>73.5</v>
      </c>
      <c r="AC18" s="22"/>
      <c r="AD18" s="12">
        <v>6.4</v>
      </c>
      <c r="AE18" s="12">
        <v>1.74</v>
      </c>
      <c r="AF18" s="12">
        <f t="shared" si="6"/>
        <v>0.87</v>
      </c>
      <c r="AG18" s="12">
        <v>26.3</v>
      </c>
      <c r="AH18" s="12">
        <v>6.2</v>
      </c>
      <c r="AI18" s="12">
        <v>1.64</v>
      </c>
      <c r="AJ18" s="12">
        <f t="shared" si="7"/>
        <v>0.82</v>
      </c>
      <c r="AK18" s="12">
        <v>26.2</v>
      </c>
      <c r="AL18" s="12">
        <v>6.2</v>
      </c>
      <c r="AM18" s="12">
        <v>1.79</v>
      </c>
      <c r="AN18" s="12">
        <f t="shared" si="12"/>
        <v>0.89500000000000002</v>
      </c>
      <c r="AO18" s="12">
        <v>26.3</v>
      </c>
      <c r="AP18" s="12">
        <v>6</v>
      </c>
      <c r="AQ18" s="12">
        <v>2.1800000000000002</v>
      </c>
      <c r="AR18" s="12">
        <f t="shared" si="9"/>
        <v>1.0900000000000001</v>
      </c>
      <c r="AS18" s="12">
        <v>26.3</v>
      </c>
      <c r="AT18" s="12">
        <v>6.1</v>
      </c>
      <c r="AU18" s="12">
        <v>2.2200000000000002</v>
      </c>
      <c r="AV18" s="12">
        <f t="shared" si="10"/>
        <v>1.1100000000000001</v>
      </c>
      <c r="AW18" s="12">
        <v>26.2</v>
      </c>
      <c r="AX18" s="12">
        <v>6</v>
      </c>
      <c r="AY18" s="12">
        <v>2.1800000000000002</v>
      </c>
      <c r="AZ18" s="12">
        <f t="shared" si="11"/>
        <v>1.0900000000000001</v>
      </c>
      <c r="BA18" s="12">
        <v>26.4</v>
      </c>
      <c r="BB18" s="12">
        <v>37780</v>
      </c>
      <c r="BC18" s="12">
        <v>26.2</v>
      </c>
      <c r="BD18" s="12">
        <v>63.2</v>
      </c>
    </row>
    <row r="19" spans="1:56" ht="15.75" customHeight="1" x14ac:dyDescent="0.15">
      <c r="A19" s="23">
        <v>45296</v>
      </c>
      <c r="B19" s="12">
        <v>6.8</v>
      </c>
      <c r="C19" s="12">
        <v>1.96</v>
      </c>
      <c r="D19" s="12">
        <f t="shared" si="0"/>
        <v>0.98</v>
      </c>
      <c r="E19" s="12">
        <v>23</v>
      </c>
      <c r="F19" s="12">
        <v>6.4</v>
      </c>
      <c r="G19" s="12">
        <v>1.84</v>
      </c>
      <c r="H19" s="12">
        <f t="shared" si="1"/>
        <v>0.92</v>
      </c>
      <c r="I19" s="12">
        <v>23.1</v>
      </c>
      <c r="J19" s="12">
        <v>6.2</v>
      </c>
      <c r="K19" s="12">
        <v>2.0299999999999998</v>
      </c>
      <c r="L19" s="12">
        <f t="shared" si="2"/>
        <v>1.0149999999999999</v>
      </c>
      <c r="M19" s="12">
        <v>23.2</v>
      </c>
      <c r="N19" s="12">
        <v>6.5</v>
      </c>
      <c r="O19" s="12">
        <v>2.44</v>
      </c>
      <c r="P19" s="12">
        <f t="shared" si="3"/>
        <v>1.22</v>
      </c>
      <c r="Q19" s="12">
        <v>23</v>
      </c>
      <c r="R19" s="12">
        <v>6.4</v>
      </c>
      <c r="S19" s="12">
        <v>2.5</v>
      </c>
      <c r="T19" s="12">
        <f t="shared" si="4"/>
        <v>1.25</v>
      </c>
      <c r="U19" s="12">
        <v>23</v>
      </c>
      <c r="V19" s="12">
        <v>6.8</v>
      </c>
      <c r="W19" s="12">
        <v>1.75</v>
      </c>
      <c r="X19" s="12">
        <f t="shared" si="5"/>
        <v>0.875</v>
      </c>
      <c r="Y19" s="12">
        <v>23.2</v>
      </c>
      <c r="Z19" s="12">
        <v>26880</v>
      </c>
      <c r="AA19" s="12">
        <v>23.1</v>
      </c>
      <c r="AB19" s="12">
        <v>77.900000000000006</v>
      </c>
      <c r="AC19" s="22"/>
      <c r="AD19" s="12" t="s">
        <v>45</v>
      </c>
      <c r="AE19" s="12" t="s">
        <v>45</v>
      </c>
      <c r="AF19" s="12" t="s">
        <v>45</v>
      </c>
      <c r="AG19" s="12" t="s">
        <v>45</v>
      </c>
      <c r="AH19" s="12" t="s">
        <v>45</v>
      </c>
      <c r="AI19" s="12" t="s">
        <v>45</v>
      </c>
      <c r="AJ19" s="12" t="s">
        <v>45</v>
      </c>
      <c r="AK19" s="12" t="s">
        <v>45</v>
      </c>
      <c r="AL19" s="12" t="s">
        <v>45</v>
      </c>
      <c r="AM19" s="12" t="s">
        <v>45</v>
      </c>
      <c r="AN19" s="12" t="s">
        <v>45</v>
      </c>
      <c r="AO19" s="12" t="s">
        <v>45</v>
      </c>
      <c r="AP19" s="12" t="s">
        <v>45</v>
      </c>
      <c r="AQ19" s="12" t="s">
        <v>45</v>
      </c>
      <c r="AR19" s="12" t="s">
        <v>45</v>
      </c>
      <c r="AS19" s="12" t="s">
        <v>45</v>
      </c>
      <c r="AT19" s="12" t="s">
        <v>45</v>
      </c>
      <c r="AU19" s="12" t="s">
        <v>45</v>
      </c>
      <c r="AV19" s="12" t="s">
        <v>45</v>
      </c>
      <c r="AW19" s="12" t="s">
        <v>45</v>
      </c>
      <c r="AX19" s="12" t="s">
        <v>45</v>
      </c>
      <c r="AY19" s="12" t="s">
        <v>45</v>
      </c>
      <c r="AZ19" s="12" t="s">
        <v>45</v>
      </c>
      <c r="BA19" s="12" t="s">
        <v>45</v>
      </c>
      <c r="BB19" s="12" t="s">
        <v>45</v>
      </c>
      <c r="BC19" s="12" t="s">
        <v>45</v>
      </c>
      <c r="BD19" s="12" t="s">
        <v>45</v>
      </c>
    </row>
    <row r="20" spans="1:56" ht="15.75" customHeight="1" x14ac:dyDescent="0.15">
      <c r="A20" s="23">
        <v>45327</v>
      </c>
      <c r="B20" s="12">
        <v>6.6</v>
      </c>
      <c r="C20" s="12">
        <v>2.04</v>
      </c>
      <c r="D20" s="12">
        <f t="shared" si="0"/>
        <v>1.02</v>
      </c>
      <c r="E20" s="12">
        <v>24.3</v>
      </c>
      <c r="F20" s="12">
        <v>6.5</v>
      </c>
      <c r="G20" s="12">
        <v>1.82</v>
      </c>
      <c r="H20" s="12">
        <f t="shared" si="1"/>
        <v>0.91</v>
      </c>
      <c r="I20" s="12">
        <v>23.8</v>
      </c>
      <c r="J20" s="12">
        <v>6.2</v>
      </c>
      <c r="K20" s="12">
        <v>1.95</v>
      </c>
      <c r="L20" s="12">
        <f t="shared" si="2"/>
        <v>0.97499999999999998</v>
      </c>
      <c r="M20" s="12">
        <v>13.5</v>
      </c>
      <c r="N20" s="12">
        <v>6.3</v>
      </c>
      <c r="O20" s="12">
        <v>2.34</v>
      </c>
      <c r="P20" s="12">
        <f t="shared" si="3"/>
        <v>1.17</v>
      </c>
      <c r="Q20" s="12">
        <v>23.5</v>
      </c>
      <c r="R20" s="12">
        <v>6.2</v>
      </c>
      <c r="S20" s="12">
        <v>2.42</v>
      </c>
      <c r="T20" s="12">
        <f t="shared" si="4"/>
        <v>1.21</v>
      </c>
      <c r="U20" s="12">
        <v>23.6</v>
      </c>
      <c r="V20" s="12">
        <v>6.7</v>
      </c>
      <c r="W20" s="12">
        <v>1.83</v>
      </c>
      <c r="X20" s="12">
        <f t="shared" si="5"/>
        <v>0.91500000000000004</v>
      </c>
      <c r="Y20" s="12">
        <v>23.9</v>
      </c>
      <c r="Z20" s="12">
        <v>39420</v>
      </c>
      <c r="AA20" s="12">
        <v>26.1</v>
      </c>
      <c r="AB20" s="12">
        <v>62.4</v>
      </c>
      <c r="AC20" s="22"/>
      <c r="AD20" s="12">
        <v>6.6</v>
      </c>
      <c r="AE20" s="12">
        <v>1.43</v>
      </c>
      <c r="AF20" s="12">
        <f t="shared" ref="AF20:AF30" si="13">AE20/2</f>
        <v>0.71499999999999997</v>
      </c>
      <c r="AG20" s="12">
        <v>22.3</v>
      </c>
      <c r="AH20" s="12">
        <v>6.5</v>
      </c>
      <c r="AI20" s="12">
        <v>1.41</v>
      </c>
      <c r="AJ20" s="12">
        <f t="shared" ref="AJ20:AJ30" si="14">AI20/2</f>
        <v>0.70499999999999996</v>
      </c>
      <c r="AK20" s="12">
        <v>21.3</v>
      </c>
      <c r="AL20" s="12">
        <v>6.6</v>
      </c>
      <c r="AM20" s="12">
        <v>1.44</v>
      </c>
      <c r="AN20" s="12">
        <f t="shared" ref="AN20:AN30" si="15">AM20/2</f>
        <v>0.72</v>
      </c>
      <c r="AO20" s="12">
        <v>22.6</v>
      </c>
      <c r="AP20" s="12">
        <v>6.6</v>
      </c>
      <c r="AQ20" s="12">
        <v>1.81</v>
      </c>
      <c r="AR20" s="12">
        <f t="shared" ref="AR20:AR30" si="16">AQ20/2</f>
        <v>0.90500000000000003</v>
      </c>
      <c r="AS20" s="12">
        <v>21.7</v>
      </c>
      <c r="AT20" s="12">
        <v>6.5</v>
      </c>
      <c r="AU20" s="12">
        <v>1.82</v>
      </c>
      <c r="AV20" s="12">
        <f t="shared" ref="AV20:AV30" si="17">AU20/2</f>
        <v>0.91</v>
      </c>
      <c r="AW20" s="12">
        <v>21.9</v>
      </c>
      <c r="AX20" s="12">
        <v>6.7</v>
      </c>
      <c r="AY20" s="12">
        <v>1.51</v>
      </c>
      <c r="AZ20" s="12">
        <f t="shared" ref="AZ20:AZ30" si="18">AY20/2</f>
        <v>0.755</v>
      </c>
      <c r="BA20" s="12">
        <v>22.3</v>
      </c>
      <c r="BB20" s="12">
        <v>3030</v>
      </c>
      <c r="BC20" s="12">
        <v>28.2</v>
      </c>
      <c r="BD20" s="12">
        <v>62.7</v>
      </c>
    </row>
    <row r="21" spans="1:56" ht="15.75" customHeight="1" x14ac:dyDescent="0.15">
      <c r="A21" s="23">
        <v>45356</v>
      </c>
      <c r="B21" s="12">
        <v>6.5</v>
      </c>
      <c r="C21" s="12">
        <v>2.11</v>
      </c>
      <c r="D21" s="12">
        <f t="shared" si="0"/>
        <v>1.0549999999999999</v>
      </c>
      <c r="E21" s="12">
        <v>20.6</v>
      </c>
      <c r="F21" s="12">
        <v>6.4</v>
      </c>
      <c r="G21" s="12">
        <v>2.1</v>
      </c>
      <c r="H21" s="12">
        <f t="shared" si="1"/>
        <v>1.05</v>
      </c>
      <c r="I21" s="12">
        <v>20.5</v>
      </c>
      <c r="J21" s="12">
        <v>6.4</v>
      </c>
      <c r="K21" s="12">
        <v>2.2000000000000002</v>
      </c>
      <c r="L21" s="12">
        <f t="shared" si="2"/>
        <v>1.1000000000000001</v>
      </c>
      <c r="M21" s="12">
        <v>20</v>
      </c>
      <c r="N21" s="12">
        <v>6.4</v>
      </c>
      <c r="O21" s="12">
        <v>2.2999999999999998</v>
      </c>
      <c r="P21" s="12">
        <f t="shared" si="3"/>
        <v>1.1499999999999999</v>
      </c>
      <c r="Q21" s="12">
        <v>20.3</v>
      </c>
      <c r="R21" s="12">
        <v>6.5</v>
      </c>
      <c r="S21" s="12">
        <v>2.2799999999999998</v>
      </c>
      <c r="T21" s="12">
        <f t="shared" si="4"/>
        <v>1.1399999999999999</v>
      </c>
      <c r="U21" s="12">
        <v>21</v>
      </c>
      <c r="V21" s="12">
        <v>6.5</v>
      </c>
      <c r="W21" s="12">
        <v>2.31</v>
      </c>
      <c r="X21" s="12">
        <f t="shared" si="5"/>
        <v>1.155</v>
      </c>
      <c r="Y21" s="12">
        <v>20.8</v>
      </c>
      <c r="Z21" s="12">
        <v>2431</v>
      </c>
      <c r="AA21" s="12">
        <v>26.5</v>
      </c>
      <c r="AB21" s="12">
        <v>62.1</v>
      </c>
      <c r="AC21" s="22"/>
      <c r="AD21" s="12">
        <v>6.5</v>
      </c>
      <c r="AE21" s="12">
        <v>1.1000000000000001</v>
      </c>
      <c r="AF21" s="12">
        <f t="shared" si="13"/>
        <v>0.55000000000000004</v>
      </c>
      <c r="AG21" s="12">
        <v>23.6</v>
      </c>
      <c r="AH21" s="12">
        <v>6.4</v>
      </c>
      <c r="AI21" s="12">
        <v>2.1800000000000002</v>
      </c>
      <c r="AJ21" s="12">
        <f t="shared" si="14"/>
        <v>1.0900000000000001</v>
      </c>
      <c r="AK21" s="12">
        <v>22.5</v>
      </c>
      <c r="AL21" s="12">
        <v>6.4</v>
      </c>
      <c r="AM21" s="12">
        <v>2.19</v>
      </c>
      <c r="AN21" s="12">
        <f t="shared" si="15"/>
        <v>1.095</v>
      </c>
      <c r="AO21" s="12">
        <v>22.8</v>
      </c>
      <c r="AP21" s="12">
        <v>6.4</v>
      </c>
      <c r="AQ21" s="12">
        <v>2.61</v>
      </c>
      <c r="AR21" s="12">
        <f t="shared" si="16"/>
        <v>1.3049999999999999</v>
      </c>
      <c r="AS21" s="12">
        <v>22.4</v>
      </c>
      <c r="AT21" s="12">
        <v>6.4</v>
      </c>
      <c r="AU21" s="12">
        <v>2.6</v>
      </c>
      <c r="AV21" s="12">
        <f t="shared" si="17"/>
        <v>1.3</v>
      </c>
      <c r="AW21" s="12">
        <v>22.5</v>
      </c>
      <c r="AX21" s="12">
        <v>6.4</v>
      </c>
      <c r="AY21" s="12">
        <v>2.35</v>
      </c>
      <c r="AZ21" s="12">
        <f t="shared" si="18"/>
        <v>1.175</v>
      </c>
      <c r="BA21" s="12">
        <v>22.8</v>
      </c>
      <c r="BB21" s="12">
        <v>2883</v>
      </c>
      <c r="BC21" s="12">
        <v>27.5</v>
      </c>
      <c r="BD21" s="12">
        <v>60.6</v>
      </c>
    </row>
    <row r="22" spans="1:56" ht="15.75" customHeight="1" x14ac:dyDescent="0.15">
      <c r="A22" s="23">
        <v>45387</v>
      </c>
      <c r="B22" s="12">
        <v>6.7</v>
      </c>
      <c r="C22" s="12">
        <v>2.4</v>
      </c>
      <c r="D22" s="12">
        <f t="shared" si="0"/>
        <v>1.2</v>
      </c>
      <c r="E22" s="12">
        <v>20</v>
      </c>
      <c r="F22" s="12">
        <v>6.4</v>
      </c>
      <c r="G22" s="12">
        <v>2.2999999999999998</v>
      </c>
      <c r="H22" s="12">
        <f t="shared" si="1"/>
        <v>1.1499999999999999</v>
      </c>
      <c r="I22" s="12">
        <v>19.600000000000001</v>
      </c>
      <c r="J22" s="12">
        <v>6.3</v>
      </c>
      <c r="K22" s="12">
        <v>2.14</v>
      </c>
      <c r="L22" s="12">
        <f t="shared" si="2"/>
        <v>1.07</v>
      </c>
      <c r="M22" s="12">
        <v>19.3</v>
      </c>
      <c r="N22" s="12">
        <v>6.3</v>
      </c>
      <c r="O22" s="12">
        <v>2.59</v>
      </c>
      <c r="P22" s="12">
        <f t="shared" si="3"/>
        <v>1.2949999999999999</v>
      </c>
      <c r="Q22" s="12">
        <v>19.5</v>
      </c>
      <c r="R22" s="12">
        <v>6.3</v>
      </c>
      <c r="S22" s="12">
        <v>2.56</v>
      </c>
      <c r="T22" s="12">
        <f t="shared" si="4"/>
        <v>1.28</v>
      </c>
      <c r="U22" s="12">
        <v>19.3</v>
      </c>
      <c r="V22" s="12">
        <v>6.4</v>
      </c>
      <c r="W22" s="12">
        <v>2.23</v>
      </c>
      <c r="X22" s="12">
        <f t="shared" si="5"/>
        <v>1.115</v>
      </c>
      <c r="Y22" s="12">
        <v>20.3</v>
      </c>
      <c r="Z22" s="12">
        <v>25700</v>
      </c>
      <c r="AA22" s="12">
        <v>26</v>
      </c>
      <c r="AB22" s="12">
        <v>64.099999999999994</v>
      </c>
      <c r="AC22" s="22"/>
      <c r="AD22" s="12">
        <v>6.5</v>
      </c>
      <c r="AE22" s="12">
        <v>2.9</v>
      </c>
      <c r="AF22" s="12">
        <f t="shared" si="13"/>
        <v>1.45</v>
      </c>
      <c r="AG22" s="12">
        <v>23.5</v>
      </c>
      <c r="AH22" s="12">
        <v>6.5</v>
      </c>
      <c r="AI22" s="12">
        <v>2.5</v>
      </c>
      <c r="AJ22" s="12">
        <f t="shared" si="14"/>
        <v>1.25</v>
      </c>
      <c r="AK22" s="12">
        <v>23.8</v>
      </c>
      <c r="AL22" s="12">
        <v>6.4</v>
      </c>
      <c r="AM22" s="12">
        <v>2.13</v>
      </c>
      <c r="AN22" s="12">
        <f t="shared" si="15"/>
        <v>1.0649999999999999</v>
      </c>
      <c r="AO22" s="12">
        <v>23</v>
      </c>
      <c r="AP22" s="12">
        <v>6.3</v>
      </c>
      <c r="AQ22" s="12">
        <v>2.5</v>
      </c>
      <c r="AR22" s="12">
        <f t="shared" si="16"/>
        <v>1.25</v>
      </c>
      <c r="AS22" s="12">
        <v>22.9</v>
      </c>
      <c r="AT22" s="12">
        <v>6.3</v>
      </c>
      <c r="AU22" s="12">
        <v>2.91</v>
      </c>
      <c r="AV22" s="12">
        <f t="shared" si="17"/>
        <v>1.4550000000000001</v>
      </c>
      <c r="AW22" s="12">
        <v>22.6</v>
      </c>
      <c r="AX22" s="12">
        <v>6.5</v>
      </c>
      <c r="AY22" s="12">
        <v>2.25</v>
      </c>
      <c r="AZ22" s="12">
        <f t="shared" si="18"/>
        <v>1.125</v>
      </c>
      <c r="BA22" s="12">
        <v>23.2</v>
      </c>
      <c r="BB22" s="12">
        <v>32550</v>
      </c>
      <c r="BC22" s="12">
        <v>25.8</v>
      </c>
      <c r="BD22" s="12">
        <v>61.5</v>
      </c>
    </row>
    <row r="23" spans="1:56" ht="15.75" customHeight="1" x14ac:dyDescent="0.15">
      <c r="A23" s="23">
        <v>45417</v>
      </c>
      <c r="B23" s="12">
        <v>6.7</v>
      </c>
      <c r="C23" s="12">
        <v>1.78</v>
      </c>
      <c r="D23" s="12">
        <f t="shared" si="0"/>
        <v>0.89</v>
      </c>
      <c r="E23" s="12">
        <v>19.7</v>
      </c>
      <c r="F23" s="12">
        <v>6.5</v>
      </c>
      <c r="G23" s="12">
        <v>1.97</v>
      </c>
      <c r="H23" s="12">
        <f t="shared" si="1"/>
        <v>0.98499999999999999</v>
      </c>
      <c r="I23" s="12">
        <v>19.2</v>
      </c>
      <c r="J23" s="12">
        <v>6.4</v>
      </c>
      <c r="K23" s="12">
        <v>2.29</v>
      </c>
      <c r="L23" s="12">
        <f t="shared" si="2"/>
        <v>1.145</v>
      </c>
      <c r="M23" s="12">
        <v>19</v>
      </c>
      <c r="N23" s="12">
        <v>6.4</v>
      </c>
      <c r="O23" s="12">
        <v>2.4900000000000002</v>
      </c>
      <c r="P23" s="12">
        <f t="shared" si="3"/>
        <v>1.2450000000000001</v>
      </c>
      <c r="Q23" s="12">
        <v>19.100000000000001</v>
      </c>
      <c r="R23" s="12">
        <v>6.4</v>
      </c>
      <c r="S23" s="12">
        <v>2.52</v>
      </c>
      <c r="T23" s="12">
        <f t="shared" si="4"/>
        <v>1.26</v>
      </c>
      <c r="U23" s="12">
        <v>19</v>
      </c>
      <c r="V23" s="12">
        <v>6.5</v>
      </c>
      <c r="W23" s="12">
        <v>2.1800000000000002</v>
      </c>
      <c r="X23" s="12">
        <f t="shared" si="5"/>
        <v>1.0900000000000001</v>
      </c>
      <c r="Y23" s="12">
        <v>19.8</v>
      </c>
      <c r="Z23" s="12">
        <v>24150</v>
      </c>
      <c r="AA23" s="12">
        <v>25.3</v>
      </c>
      <c r="AB23" s="12">
        <v>63.3</v>
      </c>
      <c r="AC23" s="22"/>
      <c r="AD23" s="12">
        <v>6.6</v>
      </c>
      <c r="AE23" s="12">
        <v>1.99</v>
      </c>
      <c r="AF23" s="12">
        <f t="shared" si="13"/>
        <v>0.995</v>
      </c>
      <c r="AG23" s="12">
        <v>21.6</v>
      </c>
      <c r="AH23" s="12">
        <v>6.4</v>
      </c>
      <c r="AI23" s="12">
        <v>1.95</v>
      </c>
      <c r="AJ23" s="12">
        <f t="shared" si="14"/>
        <v>0.97499999999999998</v>
      </c>
      <c r="AK23" s="12">
        <v>22.1</v>
      </c>
      <c r="AL23" s="12">
        <v>6.4</v>
      </c>
      <c r="AM23" s="12">
        <v>2.8</v>
      </c>
      <c r="AN23" s="12">
        <f t="shared" si="15"/>
        <v>1.4</v>
      </c>
      <c r="AO23" s="12">
        <v>22.3</v>
      </c>
      <c r="AP23" s="12">
        <v>6.4</v>
      </c>
      <c r="AQ23" s="12">
        <v>2.5</v>
      </c>
      <c r="AR23" s="12">
        <f t="shared" si="16"/>
        <v>1.25</v>
      </c>
      <c r="AS23" s="12">
        <v>21.8</v>
      </c>
      <c r="AT23" s="12">
        <v>6.4</v>
      </c>
      <c r="AU23" s="12">
        <v>2.5099999999999998</v>
      </c>
      <c r="AV23" s="12">
        <f t="shared" si="17"/>
        <v>1.2549999999999999</v>
      </c>
      <c r="AW23" s="12">
        <v>21.9</v>
      </c>
      <c r="AX23" s="12">
        <v>6.6</v>
      </c>
      <c r="AY23" s="12">
        <v>2.21</v>
      </c>
      <c r="AZ23" s="12">
        <f t="shared" si="18"/>
        <v>1.105</v>
      </c>
      <c r="BA23" s="12">
        <v>22</v>
      </c>
      <c r="BB23" s="12">
        <v>41770</v>
      </c>
      <c r="BC23" s="12">
        <v>29.9</v>
      </c>
      <c r="BD23" s="12">
        <v>49.7</v>
      </c>
    </row>
    <row r="24" spans="1:56" ht="15.75" customHeight="1" x14ac:dyDescent="0.15">
      <c r="A24" s="23">
        <v>45448</v>
      </c>
      <c r="B24" s="12">
        <v>6.8</v>
      </c>
      <c r="C24" s="12">
        <v>1.69</v>
      </c>
      <c r="D24" s="12">
        <f t="shared" si="0"/>
        <v>0.84499999999999997</v>
      </c>
      <c r="E24" s="12">
        <v>18.2</v>
      </c>
      <c r="F24" s="12">
        <v>6.7</v>
      </c>
      <c r="G24" s="12">
        <v>1.93</v>
      </c>
      <c r="H24" s="12">
        <f t="shared" si="1"/>
        <v>0.96499999999999997</v>
      </c>
      <c r="I24" s="12">
        <v>19.7</v>
      </c>
      <c r="J24" s="12">
        <v>6.5</v>
      </c>
      <c r="K24" s="12">
        <v>2.8</v>
      </c>
      <c r="L24" s="12">
        <f t="shared" si="2"/>
        <v>1.4</v>
      </c>
      <c r="M24" s="12">
        <v>17.3</v>
      </c>
      <c r="N24" s="12">
        <v>6.5</v>
      </c>
      <c r="O24" s="12">
        <v>2.58</v>
      </c>
      <c r="P24" s="12">
        <f t="shared" si="3"/>
        <v>1.29</v>
      </c>
      <c r="Q24" s="12">
        <v>17.2</v>
      </c>
      <c r="R24" s="12">
        <v>6.5</v>
      </c>
      <c r="S24" s="12">
        <v>2.1800000000000002</v>
      </c>
      <c r="T24" s="12">
        <f t="shared" si="4"/>
        <v>1.0900000000000001</v>
      </c>
      <c r="U24" s="12">
        <v>18.2</v>
      </c>
      <c r="V24" s="12">
        <v>6.5</v>
      </c>
      <c r="W24" s="12">
        <v>2.1800000000000002</v>
      </c>
      <c r="X24" s="12">
        <f t="shared" si="5"/>
        <v>1.0900000000000001</v>
      </c>
      <c r="Y24" s="12">
        <v>21.9</v>
      </c>
      <c r="Z24" s="12">
        <v>2870</v>
      </c>
      <c r="AA24" s="12">
        <v>22.6</v>
      </c>
      <c r="AB24" s="12">
        <v>77</v>
      </c>
      <c r="AC24" s="22"/>
      <c r="AD24" s="12">
        <v>6.5</v>
      </c>
      <c r="AE24" s="12">
        <v>1.98</v>
      </c>
      <c r="AF24" s="12">
        <f t="shared" si="13"/>
        <v>0.99</v>
      </c>
      <c r="AG24" s="12">
        <v>27.6</v>
      </c>
      <c r="AH24" s="12">
        <v>6.4</v>
      </c>
      <c r="AI24" s="12">
        <v>1.9</v>
      </c>
      <c r="AJ24" s="12">
        <f t="shared" si="14"/>
        <v>0.95</v>
      </c>
      <c r="AK24" s="12">
        <v>21.3</v>
      </c>
      <c r="AL24" s="12">
        <v>6.4</v>
      </c>
      <c r="AM24" s="12">
        <v>2.6</v>
      </c>
      <c r="AN24" s="12">
        <f t="shared" si="15"/>
        <v>1.3</v>
      </c>
      <c r="AO24" s="12">
        <v>21</v>
      </c>
      <c r="AP24" s="12">
        <v>6.4</v>
      </c>
      <c r="AQ24" s="12">
        <v>2.52</v>
      </c>
      <c r="AR24" s="12">
        <f t="shared" si="16"/>
        <v>1.26</v>
      </c>
      <c r="AS24" s="12">
        <v>21.1</v>
      </c>
      <c r="AT24" s="12">
        <v>6.4</v>
      </c>
      <c r="AU24" s="12">
        <v>2.5499999999999998</v>
      </c>
      <c r="AV24" s="12">
        <f t="shared" si="17"/>
        <v>1.2749999999999999</v>
      </c>
      <c r="AW24" s="12">
        <v>22.1</v>
      </c>
      <c r="AX24" s="12">
        <v>6.5</v>
      </c>
      <c r="AY24" s="12">
        <v>2.2000000000000002</v>
      </c>
      <c r="AZ24" s="12">
        <f t="shared" si="18"/>
        <v>1.1000000000000001</v>
      </c>
      <c r="BA24" s="12">
        <v>21.9</v>
      </c>
      <c r="BB24" s="12">
        <v>35770</v>
      </c>
      <c r="BC24" s="12">
        <v>25</v>
      </c>
      <c r="BD24" s="12">
        <v>65.2</v>
      </c>
    </row>
    <row r="25" spans="1:56" ht="15.75" customHeight="1" x14ac:dyDescent="0.15">
      <c r="A25" s="23">
        <v>45478</v>
      </c>
      <c r="B25" s="12">
        <v>7.2</v>
      </c>
      <c r="C25" s="12">
        <v>1.9</v>
      </c>
      <c r="D25" s="12">
        <f t="shared" si="0"/>
        <v>0.95</v>
      </c>
      <c r="E25" s="12">
        <v>17.2</v>
      </c>
      <c r="F25" s="12">
        <v>7</v>
      </c>
      <c r="G25" s="12">
        <v>1.85</v>
      </c>
      <c r="H25" s="12">
        <f t="shared" si="1"/>
        <v>0.92500000000000004</v>
      </c>
      <c r="I25" s="12">
        <v>17</v>
      </c>
      <c r="J25" s="12">
        <v>6.8</v>
      </c>
      <c r="K25" s="12">
        <v>2.4</v>
      </c>
      <c r="L25" s="12">
        <f t="shared" si="2"/>
        <v>1.2</v>
      </c>
      <c r="M25" s="12">
        <v>16.899999999999999</v>
      </c>
      <c r="N25" s="12">
        <v>6.9</v>
      </c>
      <c r="O25" s="12">
        <v>2.15</v>
      </c>
      <c r="P25" s="12">
        <f t="shared" si="3"/>
        <v>1.075</v>
      </c>
      <c r="Q25" s="12">
        <v>19.8</v>
      </c>
      <c r="R25" s="12">
        <v>6.8</v>
      </c>
      <c r="S25" s="12">
        <v>2.5</v>
      </c>
      <c r="T25" s="12">
        <f t="shared" si="4"/>
        <v>1.25</v>
      </c>
      <c r="U25" s="12">
        <v>16.899999999999999</v>
      </c>
      <c r="V25" s="12">
        <v>6.8</v>
      </c>
      <c r="W25" s="12">
        <v>2.11</v>
      </c>
      <c r="X25" s="12">
        <f t="shared" si="5"/>
        <v>1.0549999999999999</v>
      </c>
      <c r="Y25" s="12">
        <v>17.7</v>
      </c>
      <c r="Z25" s="12">
        <v>22530</v>
      </c>
      <c r="AA25" s="12">
        <v>20.7</v>
      </c>
      <c r="AB25" s="12">
        <v>72.400000000000006</v>
      </c>
      <c r="AC25" s="22"/>
      <c r="AD25" s="12">
        <v>5.7</v>
      </c>
      <c r="AE25" s="12">
        <v>1.89</v>
      </c>
      <c r="AF25" s="12">
        <f t="shared" si="13"/>
        <v>0.94499999999999995</v>
      </c>
      <c r="AG25" s="12">
        <v>20.5</v>
      </c>
      <c r="AH25" s="12">
        <v>5.9</v>
      </c>
      <c r="AI25" s="12">
        <v>1.83</v>
      </c>
      <c r="AJ25" s="12">
        <f t="shared" si="14"/>
        <v>0.91500000000000004</v>
      </c>
      <c r="AK25" s="12">
        <v>19.5</v>
      </c>
      <c r="AL25" s="12">
        <v>5.9</v>
      </c>
      <c r="AM25" s="12">
        <v>2.2999999999999998</v>
      </c>
      <c r="AN25" s="12">
        <f t="shared" si="15"/>
        <v>1.1499999999999999</v>
      </c>
      <c r="AO25" s="12">
        <v>19.600000000000001</v>
      </c>
      <c r="AP25" s="12">
        <v>5.9</v>
      </c>
      <c r="AQ25" s="12">
        <v>2.44</v>
      </c>
      <c r="AR25" s="12">
        <f t="shared" si="16"/>
        <v>1.22</v>
      </c>
      <c r="AS25" s="12">
        <v>19.100000000000001</v>
      </c>
      <c r="AT25" s="12">
        <v>6</v>
      </c>
      <c r="AU25" s="12">
        <v>2.48</v>
      </c>
      <c r="AV25" s="12">
        <f t="shared" si="17"/>
        <v>1.24</v>
      </c>
      <c r="AW25" s="12">
        <v>19.100000000000001</v>
      </c>
      <c r="AX25" s="12">
        <v>6</v>
      </c>
      <c r="AY25" s="12">
        <v>2.12</v>
      </c>
      <c r="AZ25" s="12">
        <f t="shared" si="18"/>
        <v>1.06</v>
      </c>
      <c r="BA25" s="12">
        <v>19.899999999999999</v>
      </c>
      <c r="BB25" s="12">
        <v>36610</v>
      </c>
      <c r="BC25" s="12">
        <v>27.1</v>
      </c>
      <c r="BD25" s="12">
        <v>54.9</v>
      </c>
    </row>
    <row r="26" spans="1:56" ht="15.75" customHeight="1" x14ac:dyDescent="0.15">
      <c r="A26" s="23">
        <v>45509</v>
      </c>
      <c r="B26" s="12">
        <v>6.1</v>
      </c>
      <c r="C26" s="12">
        <v>1.83</v>
      </c>
      <c r="D26" s="12">
        <f t="shared" si="0"/>
        <v>0.91500000000000004</v>
      </c>
      <c r="E26" s="12">
        <v>18.8</v>
      </c>
      <c r="F26" s="12">
        <v>6.2</v>
      </c>
      <c r="G26" s="12">
        <v>1.86</v>
      </c>
      <c r="H26" s="12">
        <f t="shared" si="1"/>
        <v>0.93</v>
      </c>
      <c r="I26" s="12">
        <v>18.899999999999999</v>
      </c>
      <c r="J26" s="12">
        <v>6.5</v>
      </c>
      <c r="K26" s="12">
        <v>2.31</v>
      </c>
      <c r="L26" s="12">
        <f t="shared" si="2"/>
        <v>1.155</v>
      </c>
      <c r="M26" s="12">
        <v>18.3</v>
      </c>
      <c r="N26" s="12">
        <v>6.6</v>
      </c>
      <c r="O26" s="12">
        <v>2.5</v>
      </c>
      <c r="P26" s="12">
        <f t="shared" si="3"/>
        <v>1.25</v>
      </c>
      <c r="Q26" s="12">
        <v>18</v>
      </c>
      <c r="R26" s="12">
        <v>6.4</v>
      </c>
      <c r="S26" s="12">
        <v>2.5299999999999998</v>
      </c>
      <c r="T26" s="12">
        <f t="shared" si="4"/>
        <v>1.2649999999999999</v>
      </c>
      <c r="U26" s="12">
        <v>18.100000000000001</v>
      </c>
      <c r="V26" s="12">
        <v>6.5</v>
      </c>
      <c r="W26" s="12">
        <v>2.13</v>
      </c>
      <c r="X26" s="12">
        <f t="shared" si="5"/>
        <v>1.0649999999999999</v>
      </c>
      <c r="Y26" s="12">
        <v>19.100000000000001</v>
      </c>
      <c r="Z26" s="12">
        <v>25600</v>
      </c>
      <c r="AA26" s="12">
        <v>25.6</v>
      </c>
      <c r="AB26" s="12">
        <v>63.1</v>
      </c>
      <c r="AC26" s="22"/>
      <c r="AD26" s="12">
        <v>6.4</v>
      </c>
      <c r="AE26" s="12">
        <v>1.81</v>
      </c>
      <c r="AF26" s="12">
        <f t="shared" si="13"/>
        <v>0.90500000000000003</v>
      </c>
      <c r="AG26" s="12">
        <v>19.899999999999999</v>
      </c>
      <c r="AH26" s="12">
        <v>6.4</v>
      </c>
      <c r="AI26" s="12">
        <v>1.75</v>
      </c>
      <c r="AJ26" s="12">
        <f t="shared" si="14"/>
        <v>0.875</v>
      </c>
      <c r="AK26" s="12">
        <v>19.5</v>
      </c>
      <c r="AL26" s="12">
        <v>6.3</v>
      </c>
      <c r="AM26" s="12">
        <v>1.89</v>
      </c>
      <c r="AN26" s="12">
        <f t="shared" si="15"/>
        <v>0.94499999999999995</v>
      </c>
      <c r="AO26" s="12">
        <v>18.899999999999999</v>
      </c>
      <c r="AP26" s="12">
        <v>6.4</v>
      </c>
      <c r="AQ26" s="12">
        <v>2.13</v>
      </c>
      <c r="AR26" s="12">
        <f t="shared" si="16"/>
        <v>1.0649999999999999</v>
      </c>
      <c r="AS26" s="12">
        <v>21.9</v>
      </c>
      <c r="AT26" s="12">
        <v>6.5</v>
      </c>
      <c r="AU26" s="12">
        <v>2.4300000000000002</v>
      </c>
      <c r="AV26" s="12">
        <f t="shared" si="17"/>
        <v>1.2150000000000001</v>
      </c>
      <c r="AW26" s="12">
        <v>21.8</v>
      </c>
      <c r="AX26" s="12">
        <v>6.5</v>
      </c>
      <c r="AY26" s="12">
        <v>2.12</v>
      </c>
      <c r="AZ26" s="12">
        <f t="shared" si="18"/>
        <v>1.06</v>
      </c>
      <c r="BA26" s="12">
        <v>22.3</v>
      </c>
      <c r="BB26" s="12">
        <v>3772</v>
      </c>
      <c r="BC26" s="12">
        <v>23.1</v>
      </c>
      <c r="BD26" s="12">
        <v>61.5</v>
      </c>
    </row>
    <row r="27" spans="1:56" ht="15.75" customHeight="1" x14ac:dyDescent="0.15">
      <c r="A27" s="23">
        <v>45540</v>
      </c>
      <c r="B27" s="12">
        <v>6.4</v>
      </c>
      <c r="C27" s="12">
        <v>1.79</v>
      </c>
      <c r="D27" s="12">
        <f t="shared" si="0"/>
        <v>0.89500000000000002</v>
      </c>
      <c r="E27" s="12">
        <v>19</v>
      </c>
      <c r="F27" s="12">
        <v>6.4</v>
      </c>
      <c r="G27" s="12">
        <v>1.68</v>
      </c>
      <c r="H27" s="12">
        <f t="shared" si="1"/>
        <v>0.84</v>
      </c>
      <c r="I27" s="12">
        <v>18.5</v>
      </c>
      <c r="J27" s="12">
        <v>6.4</v>
      </c>
      <c r="K27" s="12">
        <v>1.94</v>
      </c>
      <c r="L27" s="12">
        <f t="shared" si="2"/>
        <v>0.97</v>
      </c>
      <c r="M27" s="12">
        <v>18.3</v>
      </c>
      <c r="N27" s="12">
        <v>6.5</v>
      </c>
      <c r="O27" s="12">
        <v>2.33</v>
      </c>
      <c r="P27" s="12">
        <f t="shared" si="3"/>
        <v>1.165</v>
      </c>
      <c r="Q27" s="12">
        <v>18.3</v>
      </c>
      <c r="R27" s="12">
        <v>6.5</v>
      </c>
      <c r="S27" s="12">
        <v>2.38</v>
      </c>
      <c r="T27" s="12">
        <f t="shared" si="4"/>
        <v>1.19</v>
      </c>
      <c r="U27" s="12">
        <v>18.5</v>
      </c>
      <c r="V27" s="12">
        <v>6.4</v>
      </c>
      <c r="W27" s="12">
        <v>2.16</v>
      </c>
      <c r="X27" s="12">
        <f t="shared" si="5"/>
        <v>1.08</v>
      </c>
      <c r="Y27" s="12">
        <v>19</v>
      </c>
      <c r="Z27" s="12">
        <v>27070</v>
      </c>
      <c r="AA27" s="12">
        <v>26.3</v>
      </c>
      <c r="AB27" s="12">
        <v>64.5</v>
      </c>
      <c r="AC27" s="22"/>
      <c r="AD27" s="12">
        <v>6.3</v>
      </c>
      <c r="AE27" s="12">
        <v>1.77</v>
      </c>
      <c r="AF27" s="12">
        <f t="shared" si="13"/>
        <v>0.88500000000000001</v>
      </c>
      <c r="AG27" s="12">
        <v>20.6</v>
      </c>
      <c r="AH27" s="12">
        <v>6.4</v>
      </c>
      <c r="AI27" s="12">
        <v>1.76</v>
      </c>
      <c r="AJ27" s="12">
        <f t="shared" si="14"/>
        <v>0.88</v>
      </c>
      <c r="AK27" s="12">
        <v>20.3</v>
      </c>
      <c r="AL27" s="12">
        <v>6.4</v>
      </c>
      <c r="AM27" s="12">
        <v>1.91</v>
      </c>
      <c r="AN27" s="12">
        <f t="shared" si="15"/>
        <v>0.95499999999999996</v>
      </c>
      <c r="AO27" s="12">
        <v>20</v>
      </c>
      <c r="AP27" s="12">
        <v>6.4</v>
      </c>
      <c r="AQ27" s="12">
        <v>2.35</v>
      </c>
      <c r="AR27" s="12">
        <f t="shared" si="16"/>
        <v>1.175</v>
      </c>
      <c r="AS27" s="12">
        <v>20</v>
      </c>
      <c r="AT27" s="12">
        <v>6.5</v>
      </c>
      <c r="AU27" s="12">
        <v>2.4</v>
      </c>
      <c r="AV27" s="12">
        <f t="shared" si="17"/>
        <v>1.2</v>
      </c>
      <c r="AW27" s="12">
        <v>20.3</v>
      </c>
      <c r="AX27" s="12">
        <v>6.5</v>
      </c>
      <c r="AY27" s="12">
        <v>2.13</v>
      </c>
      <c r="AZ27" s="12">
        <f t="shared" si="18"/>
        <v>1.0649999999999999</v>
      </c>
      <c r="BA27" s="12">
        <v>21.2</v>
      </c>
      <c r="BB27" s="12">
        <v>36770</v>
      </c>
      <c r="BC27" s="12">
        <v>26.1</v>
      </c>
      <c r="BD27" s="12">
        <v>61</v>
      </c>
    </row>
    <row r="28" spans="1:56" ht="15.75" customHeight="1" x14ac:dyDescent="0.15">
      <c r="A28" s="23">
        <v>45570</v>
      </c>
      <c r="B28" s="12">
        <v>6.5</v>
      </c>
      <c r="C28" s="12">
        <v>1.78</v>
      </c>
      <c r="D28" s="12">
        <f t="shared" si="0"/>
        <v>0.89</v>
      </c>
      <c r="E28" s="12">
        <v>18.899999999999999</v>
      </c>
      <c r="F28" s="12">
        <v>6.4</v>
      </c>
      <c r="G28" s="12">
        <v>1.78</v>
      </c>
      <c r="H28" s="12">
        <f t="shared" si="1"/>
        <v>0.89</v>
      </c>
      <c r="I28" s="12">
        <v>18.600000000000001</v>
      </c>
      <c r="J28" s="12">
        <v>6.4</v>
      </c>
      <c r="K28" s="12">
        <v>1.92</v>
      </c>
      <c r="L28" s="12">
        <f t="shared" si="2"/>
        <v>0.96</v>
      </c>
      <c r="M28" s="12">
        <v>18.100000000000001</v>
      </c>
      <c r="N28" s="12">
        <v>6.4</v>
      </c>
      <c r="O28" s="12">
        <v>2.36</v>
      </c>
      <c r="P28" s="12">
        <f t="shared" si="3"/>
        <v>1.18</v>
      </c>
      <c r="Q28" s="12">
        <v>18.100000000000001</v>
      </c>
      <c r="R28" s="12">
        <v>6.5</v>
      </c>
      <c r="S28" s="12">
        <v>2.4</v>
      </c>
      <c r="T28" s="12">
        <f t="shared" si="4"/>
        <v>1.2</v>
      </c>
      <c r="U28" s="12">
        <v>17.8</v>
      </c>
      <c r="V28" s="12">
        <v>6.5</v>
      </c>
      <c r="W28" s="12">
        <v>2.1800000000000002</v>
      </c>
      <c r="X28" s="12">
        <f t="shared" si="5"/>
        <v>1.0900000000000001</v>
      </c>
      <c r="Y28" s="12">
        <v>19</v>
      </c>
      <c r="Z28" s="12">
        <v>23500</v>
      </c>
      <c r="AA28" s="12">
        <v>23.6</v>
      </c>
      <c r="AB28" s="12">
        <v>59.3</v>
      </c>
      <c r="AC28" s="22"/>
      <c r="AD28" s="12">
        <v>6.6</v>
      </c>
      <c r="AE28" s="12">
        <v>1.74</v>
      </c>
      <c r="AF28" s="12">
        <f t="shared" si="13"/>
        <v>0.87</v>
      </c>
      <c r="AG28" s="12">
        <v>21.5</v>
      </c>
      <c r="AH28" s="12">
        <v>6.6</v>
      </c>
      <c r="AI28" s="12">
        <v>1.65</v>
      </c>
      <c r="AJ28" s="12">
        <f t="shared" si="14"/>
        <v>0.82499999999999996</v>
      </c>
      <c r="AK28" s="12">
        <v>20.8</v>
      </c>
      <c r="AL28" s="12">
        <v>6.5</v>
      </c>
      <c r="AM28" s="12">
        <v>1.87</v>
      </c>
      <c r="AN28" s="12">
        <f t="shared" si="15"/>
        <v>0.93500000000000005</v>
      </c>
      <c r="AO28" s="12">
        <v>20.5</v>
      </c>
      <c r="AP28" s="12">
        <v>6.6</v>
      </c>
      <c r="AQ28" s="12">
        <v>26.7</v>
      </c>
      <c r="AR28" s="12">
        <f t="shared" si="16"/>
        <v>13.35</v>
      </c>
      <c r="AS28" s="12">
        <v>20.6</v>
      </c>
      <c r="AT28" s="12">
        <v>6.6</v>
      </c>
      <c r="AU28" s="12">
        <v>2.31</v>
      </c>
      <c r="AV28" s="12">
        <f t="shared" si="17"/>
        <v>1.155</v>
      </c>
      <c r="AW28" s="12">
        <v>20.2</v>
      </c>
      <c r="AX28" s="12">
        <v>6.7</v>
      </c>
      <c r="AY28" s="12">
        <v>1.98</v>
      </c>
      <c r="AZ28" s="12">
        <f t="shared" si="18"/>
        <v>0.99</v>
      </c>
      <c r="BA28" s="12">
        <v>21.5</v>
      </c>
      <c r="BB28" s="12">
        <v>22800</v>
      </c>
      <c r="BC28" s="12">
        <v>27.3</v>
      </c>
      <c r="BD28" s="12">
        <v>60.1</v>
      </c>
    </row>
    <row r="29" spans="1:56" ht="15.75" customHeight="1" x14ac:dyDescent="0.15">
      <c r="A29" s="23">
        <v>45601</v>
      </c>
      <c r="B29" s="12">
        <v>6.5</v>
      </c>
      <c r="C29" s="12">
        <v>1.79</v>
      </c>
      <c r="D29" s="12">
        <f t="shared" si="0"/>
        <v>0.89500000000000002</v>
      </c>
      <c r="E29" s="12">
        <v>18.8</v>
      </c>
      <c r="F29" s="12">
        <v>6.5</v>
      </c>
      <c r="G29" s="12">
        <v>1.78</v>
      </c>
      <c r="H29" s="12">
        <f t="shared" si="1"/>
        <v>0.89</v>
      </c>
      <c r="I29" s="12">
        <v>18.5</v>
      </c>
      <c r="J29" s="12">
        <v>6.5</v>
      </c>
      <c r="K29" s="12">
        <v>1.9</v>
      </c>
      <c r="L29" s="12">
        <f t="shared" si="2"/>
        <v>0.95</v>
      </c>
      <c r="M29" s="12">
        <v>18.3</v>
      </c>
      <c r="N29" s="12">
        <v>6.5</v>
      </c>
      <c r="O29" s="12">
        <v>2.2999999999999998</v>
      </c>
      <c r="P29" s="12">
        <f t="shared" si="3"/>
        <v>1.1499999999999999</v>
      </c>
      <c r="Q29" s="12">
        <v>18</v>
      </c>
      <c r="R29" s="12">
        <v>6.6</v>
      </c>
      <c r="S29" s="12">
        <v>2.42</v>
      </c>
      <c r="T29" s="12">
        <f t="shared" si="4"/>
        <v>1.21</v>
      </c>
      <c r="U29" s="12">
        <v>17.600000000000001</v>
      </c>
      <c r="V29" s="12">
        <v>6.4</v>
      </c>
      <c r="W29" s="12">
        <v>2.14</v>
      </c>
      <c r="X29" s="12">
        <f t="shared" si="5"/>
        <v>1.07</v>
      </c>
      <c r="Y29" s="12">
        <v>18.600000000000001</v>
      </c>
      <c r="Z29" s="12">
        <v>25030</v>
      </c>
      <c r="AA29" s="12">
        <v>24.8</v>
      </c>
      <c r="AB29" s="12">
        <v>70.5</v>
      </c>
      <c r="AC29" s="22"/>
      <c r="AD29" s="12">
        <v>6.5</v>
      </c>
      <c r="AE29" s="12">
        <v>1.74</v>
      </c>
      <c r="AF29" s="12">
        <f t="shared" si="13"/>
        <v>0.87</v>
      </c>
      <c r="AG29" s="12">
        <v>23.1</v>
      </c>
      <c r="AH29" s="12">
        <v>6.4</v>
      </c>
      <c r="AI29" s="12">
        <v>1.76</v>
      </c>
      <c r="AJ29" s="12">
        <f t="shared" si="14"/>
        <v>0.88</v>
      </c>
      <c r="AK29" s="12">
        <v>22.9</v>
      </c>
      <c r="AL29" s="12">
        <v>6.4</v>
      </c>
      <c r="AM29" s="12">
        <v>1.86</v>
      </c>
      <c r="AN29" s="12">
        <f t="shared" si="15"/>
        <v>0.93</v>
      </c>
      <c r="AO29" s="12">
        <v>21.6</v>
      </c>
      <c r="AP29" s="12">
        <v>6.5</v>
      </c>
      <c r="AQ29" s="12">
        <v>2.2000000000000002</v>
      </c>
      <c r="AR29" s="12">
        <f t="shared" si="16"/>
        <v>1.1000000000000001</v>
      </c>
      <c r="AS29" s="12">
        <v>21.1</v>
      </c>
      <c r="AT29" s="12">
        <v>6.5</v>
      </c>
      <c r="AU29" s="12">
        <v>2.21</v>
      </c>
      <c r="AV29" s="12">
        <f t="shared" si="17"/>
        <v>1.105</v>
      </c>
      <c r="AW29" s="12">
        <v>21.5</v>
      </c>
      <c r="AX29" s="12">
        <v>6.6</v>
      </c>
      <c r="AY29" s="12">
        <v>1.98</v>
      </c>
      <c r="AZ29" s="12">
        <f t="shared" si="18"/>
        <v>0.99</v>
      </c>
      <c r="BA29" s="12">
        <v>22</v>
      </c>
      <c r="BB29" s="12">
        <v>37870</v>
      </c>
      <c r="BC29" s="12">
        <v>30.9</v>
      </c>
      <c r="BD29" s="12">
        <v>49.2</v>
      </c>
    </row>
    <row r="30" spans="1:56" ht="15.75" customHeight="1" x14ac:dyDescent="0.15">
      <c r="A30" s="23">
        <v>45631</v>
      </c>
      <c r="B30" s="12">
        <v>7.1</v>
      </c>
      <c r="C30" s="12">
        <v>1.75</v>
      </c>
      <c r="D30" s="12">
        <f t="shared" si="0"/>
        <v>0.875</v>
      </c>
      <c r="E30" s="12">
        <v>19.8</v>
      </c>
      <c r="F30" s="12">
        <v>7</v>
      </c>
      <c r="G30" s="12">
        <v>1.64</v>
      </c>
      <c r="H30" s="12">
        <f t="shared" si="1"/>
        <v>0.82</v>
      </c>
      <c r="I30" s="12">
        <v>19.399999999999999</v>
      </c>
      <c r="J30" s="12">
        <v>6.9</v>
      </c>
      <c r="K30" s="12">
        <v>1.77</v>
      </c>
      <c r="L30" s="12">
        <f t="shared" si="2"/>
        <v>0.88500000000000001</v>
      </c>
      <c r="M30" s="12">
        <v>19</v>
      </c>
      <c r="N30" s="12">
        <v>6.9</v>
      </c>
      <c r="O30" s="12">
        <v>2.19</v>
      </c>
      <c r="P30" s="12">
        <f t="shared" si="3"/>
        <v>1.095</v>
      </c>
      <c r="Q30" s="12">
        <v>19.3</v>
      </c>
      <c r="R30" s="12">
        <v>6.8</v>
      </c>
      <c r="S30" s="12">
        <v>2.23</v>
      </c>
      <c r="T30" s="12">
        <f t="shared" si="4"/>
        <v>1.115</v>
      </c>
      <c r="U30" s="12">
        <v>18.899999999999999</v>
      </c>
      <c r="V30" s="12">
        <v>6.9</v>
      </c>
      <c r="W30" s="12">
        <v>1.93</v>
      </c>
      <c r="X30" s="12">
        <f t="shared" si="5"/>
        <v>0.96499999999999997</v>
      </c>
      <c r="Y30" s="12">
        <v>20.399999999999999</v>
      </c>
      <c r="Z30" s="12">
        <v>33100</v>
      </c>
      <c r="AA30" s="12">
        <v>29.9</v>
      </c>
      <c r="AB30" s="12">
        <v>56.6</v>
      </c>
      <c r="AC30" s="22"/>
      <c r="AD30" s="12">
        <v>7.1</v>
      </c>
      <c r="AE30" s="12">
        <v>1.76</v>
      </c>
      <c r="AF30" s="12">
        <f t="shared" si="13"/>
        <v>0.88</v>
      </c>
      <c r="AG30" s="12">
        <v>22.5</v>
      </c>
      <c r="AH30" s="12">
        <v>6.9</v>
      </c>
      <c r="AI30" s="12">
        <v>1.66</v>
      </c>
      <c r="AJ30" s="12">
        <f t="shared" si="14"/>
        <v>0.83</v>
      </c>
      <c r="AK30" s="12">
        <v>25</v>
      </c>
      <c r="AL30" s="12">
        <v>6.7</v>
      </c>
      <c r="AM30" s="12">
        <v>1.75</v>
      </c>
      <c r="AN30" s="12">
        <f t="shared" si="15"/>
        <v>0.875</v>
      </c>
      <c r="AO30" s="12">
        <v>20.8</v>
      </c>
      <c r="AP30" s="12">
        <v>6.9</v>
      </c>
      <c r="AQ30" s="12">
        <v>2.2200000000000002</v>
      </c>
      <c r="AR30" s="12">
        <f t="shared" si="16"/>
        <v>1.1100000000000001</v>
      </c>
      <c r="AS30" s="12">
        <v>20.5</v>
      </c>
      <c r="AT30" s="12">
        <v>6.8</v>
      </c>
      <c r="AU30" s="12">
        <v>2.25</v>
      </c>
      <c r="AV30" s="12">
        <f t="shared" si="17"/>
        <v>1.125</v>
      </c>
      <c r="AW30" s="12">
        <v>20.399999999999999</v>
      </c>
      <c r="AX30" s="12">
        <v>6.9</v>
      </c>
      <c r="AY30" s="12">
        <v>1.95</v>
      </c>
      <c r="AZ30" s="12">
        <f t="shared" si="18"/>
        <v>0.97499999999999998</v>
      </c>
      <c r="BA30" s="12">
        <v>21.2</v>
      </c>
      <c r="BB30" s="12">
        <v>3090</v>
      </c>
      <c r="BC30" s="12">
        <v>28.5</v>
      </c>
      <c r="BD30" s="12">
        <v>59.7</v>
      </c>
    </row>
    <row r="31" spans="1:56" ht="15.75" customHeight="1" x14ac:dyDescent="0.15">
      <c r="A31" s="19" t="s">
        <v>60</v>
      </c>
      <c r="B31" s="12">
        <v>6.8</v>
      </c>
      <c r="C31" s="12">
        <v>1.86</v>
      </c>
      <c r="D31" s="12">
        <f t="shared" si="0"/>
        <v>0.93</v>
      </c>
      <c r="E31" s="12">
        <v>18.5</v>
      </c>
      <c r="F31" s="12">
        <v>6.7</v>
      </c>
      <c r="G31" s="12">
        <v>1.66</v>
      </c>
      <c r="H31" s="12">
        <f t="shared" si="1"/>
        <v>0.83</v>
      </c>
      <c r="I31" s="12">
        <v>18.8</v>
      </c>
      <c r="J31" s="12">
        <v>6.7</v>
      </c>
      <c r="K31" s="12">
        <v>1.93</v>
      </c>
      <c r="L31" s="12">
        <f t="shared" si="2"/>
        <v>0.96499999999999997</v>
      </c>
      <c r="M31" s="12">
        <v>18</v>
      </c>
      <c r="N31" s="12">
        <v>6.6</v>
      </c>
      <c r="O31" s="12">
        <v>2.46</v>
      </c>
      <c r="P31" s="12">
        <f t="shared" si="3"/>
        <v>1.23</v>
      </c>
      <c r="Q31" s="12">
        <v>18.3</v>
      </c>
      <c r="R31" s="12">
        <v>7.1</v>
      </c>
      <c r="S31" s="12">
        <v>2.56</v>
      </c>
      <c r="T31" s="12">
        <f t="shared" si="4"/>
        <v>1.28</v>
      </c>
      <c r="U31" s="12">
        <v>18.5</v>
      </c>
      <c r="V31" s="12">
        <v>7</v>
      </c>
      <c r="W31" s="12">
        <v>2.1</v>
      </c>
      <c r="X31" s="12">
        <f t="shared" si="5"/>
        <v>1.05</v>
      </c>
      <c r="Y31" s="12">
        <v>19</v>
      </c>
      <c r="Z31" s="12">
        <v>26660</v>
      </c>
      <c r="AA31" s="12">
        <v>24.6</v>
      </c>
      <c r="AB31" s="12">
        <v>69</v>
      </c>
      <c r="AC31" s="22"/>
      <c r="AD31" s="12" t="s">
        <v>45</v>
      </c>
      <c r="AE31" s="12" t="s">
        <v>45</v>
      </c>
      <c r="AF31" s="12" t="s">
        <v>45</v>
      </c>
      <c r="AG31" s="12" t="s">
        <v>45</v>
      </c>
      <c r="AH31" s="12" t="s">
        <v>45</v>
      </c>
      <c r="AI31" s="12" t="s">
        <v>45</v>
      </c>
      <c r="AJ31" s="12" t="s">
        <v>45</v>
      </c>
      <c r="AK31" s="12" t="s">
        <v>45</v>
      </c>
      <c r="AL31" s="12" t="s">
        <v>45</v>
      </c>
      <c r="AM31" s="12" t="s">
        <v>45</v>
      </c>
      <c r="AN31" s="12" t="s">
        <v>45</v>
      </c>
      <c r="AO31" s="12" t="s">
        <v>45</v>
      </c>
      <c r="AP31" s="12" t="s">
        <v>45</v>
      </c>
      <c r="AQ31" s="12" t="s">
        <v>45</v>
      </c>
      <c r="AR31" s="12" t="s">
        <v>45</v>
      </c>
      <c r="AS31" s="12" t="s">
        <v>45</v>
      </c>
      <c r="AT31" s="12" t="s">
        <v>45</v>
      </c>
      <c r="AU31" s="12" t="s">
        <v>45</v>
      </c>
      <c r="AV31" s="12" t="s">
        <v>45</v>
      </c>
      <c r="AW31" s="12" t="s">
        <v>45</v>
      </c>
      <c r="AX31" s="12" t="s">
        <v>45</v>
      </c>
      <c r="AY31" s="12" t="s">
        <v>45</v>
      </c>
      <c r="AZ31" s="12" t="s">
        <v>45</v>
      </c>
      <c r="BA31" s="12" t="s">
        <v>45</v>
      </c>
      <c r="BB31" s="12"/>
      <c r="BC31" s="12"/>
      <c r="BD31" s="12"/>
    </row>
    <row r="32" spans="1:56" ht="15.75" customHeight="1" x14ac:dyDescent="0.15">
      <c r="A32" s="19" t="s">
        <v>61</v>
      </c>
      <c r="B32" s="12">
        <v>7</v>
      </c>
      <c r="C32" s="12">
        <v>1.87</v>
      </c>
      <c r="D32" s="12">
        <f t="shared" si="0"/>
        <v>0.93500000000000005</v>
      </c>
      <c r="E32" s="12">
        <v>18.600000000000001</v>
      </c>
      <c r="F32" s="12">
        <v>7</v>
      </c>
      <c r="G32" s="12">
        <v>1.67</v>
      </c>
      <c r="H32" s="12">
        <f t="shared" si="1"/>
        <v>0.83499999999999996</v>
      </c>
      <c r="I32" s="12">
        <v>18.3</v>
      </c>
      <c r="J32" s="12">
        <v>6.8</v>
      </c>
      <c r="K32" s="12">
        <v>1.9</v>
      </c>
      <c r="L32" s="12">
        <f t="shared" si="2"/>
        <v>0.95</v>
      </c>
      <c r="M32" s="12">
        <v>18.100000000000001</v>
      </c>
      <c r="N32" s="12">
        <v>6.8</v>
      </c>
      <c r="O32" s="12">
        <v>1.9</v>
      </c>
      <c r="P32" s="12">
        <f t="shared" si="3"/>
        <v>0.95</v>
      </c>
      <c r="Q32" s="12">
        <v>18.100000000000001</v>
      </c>
      <c r="R32" s="12">
        <v>6.7</v>
      </c>
      <c r="S32" s="12">
        <v>2.2599999999999998</v>
      </c>
      <c r="T32" s="12">
        <f t="shared" si="4"/>
        <v>1.1299999999999999</v>
      </c>
      <c r="U32" s="12">
        <v>17.899999999999999</v>
      </c>
      <c r="V32" s="12">
        <v>6.9</v>
      </c>
      <c r="W32" s="12">
        <v>2.13</v>
      </c>
      <c r="X32" s="12">
        <f t="shared" si="5"/>
        <v>1.0649999999999999</v>
      </c>
      <c r="Y32" s="12">
        <v>19.2</v>
      </c>
      <c r="Z32" s="24">
        <v>2554</v>
      </c>
      <c r="AA32" s="12">
        <v>30</v>
      </c>
      <c r="AB32" s="12">
        <v>59.4</v>
      </c>
      <c r="AC32" s="22"/>
      <c r="AD32" s="12">
        <v>6.9</v>
      </c>
      <c r="AE32" s="12">
        <v>1.88</v>
      </c>
      <c r="AF32" s="12">
        <f>AE32/2</f>
        <v>0.94</v>
      </c>
      <c r="AG32" s="12">
        <v>21.7</v>
      </c>
      <c r="AH32" s="12">
        <v>7</v>
      </c>
      <c r="AI32" s="12">
        <v>1.74</v>
      </c>
      <c r="AJ32" s="12">
        <f>AI32/2</f>
        <v>0.87</v>
      </c>
      <c r="AK32" s="12">
        <v>21</v>
      </c>
      <c r="AL32" s="12">
        <v>7.1</v>
      </c>
      <c r="AM32" s="12">
        <v>1.95</v>
      </c>
      <c r="AN32" s="12">
        <f>AM32/2</f>
        <v>0.97499999999999998</v>
      </c>
      <c r="AO32" s="12">
        <v>20.6</v>
      </c>
      <c r="AP32" s="12">
        <v>7.1</v>
      </c>
      <c r="AQ32" s="12">
        <v>2.2000000000000002</v>
      </c>
      <c r="AR32" s="12">
        <f>AQ32/2</f>
        <v>1.1000000000000001</v>
      </c>
      <c r="AS32" s="12">
        <v>20.7</v>
      </c>
      <c r="AT32" s="12">
        <v>7.2</v>
      </c>
      <c r="AU32" s="12">
        <v>2.5</v>
      </c>
      <c r="AV32" s="12">
        <f>AU32/2</f>
        <v>1.25</v>
      </c>
      <c r="AW32" s="12">
        <v>20</v>
      </c>
      <c r="AX32" s="12">
        <v>7.1</v>
      </c>
      <c r="AY32" s="12">
        <v>2.2000000000000002</v>
      </c>
      <c r="AZ32" s="12">
        <f>AY32/2</f>
        <v>1.1000000000000001</v>
      </c>
      <c r="BA32" s="12">
        <v>21.2</v>
      </c>
      <c r="BB32" s="12">
        <v>12720</v>
      </c>
      <c r="BC32" s="12">
        <v>25.3</v>
      </c>
      <c r="BD32" s="12">
        <v>64.2</v>
      </c>
    </row>
    <row r="33" spans="1:56" ht="15.75" customHeight="1" x14ac:dyDescent="0.15">
      <c r="A33" s="19"/>
      <c r="AC33" s="25"/>
      <c r="BB33" s="12"/>
      <c r="BC33" s="12"/>
      <c r="BD33" s="12"/>
    </row>
  </sheetData>
  <mergeCells count="23">
    <mergeCell ref="BD2:BD3"/>
    <mergeCell ref="BB1:BD1"/>
    <mergeCell ref="B2:E2"/>
    <mergeCell ref="F2:I2"/>
    <mergeCell ref="J2:M2"/>
    <mergeCell ref="N2:Q2"/>
    <mergeCell ref="R2:U2"/>
    <mergeCell ref="V2:Y2"/>
    <mergeCell ref="Z2:Z3"/>
    <mergeCell ref="AA2:AA3"/>
    <mergeCell ref="AH2:AK2"/>
    <mergeCell ref="AL2:AO2"/>
    <mergeCell ref="AP2:AS2"/>
    <mergeCell ref="AT2:AW2"/>
    <mergeCell ref="AX2:BA2"/>
    <mergeCell ref="BB2:BB3"/>
    <mergeCell ref="BC2:BC3"/>
    <mergeCell ref="AB2:AB3"/>
    <mergeCell ref="AD2:AG2"/>
    <mergeCell ref="B1:Y1"/>
    <mergeCell ref="Z1:AB1"/>
    <mergeCell ref="AC1:AC3"/>
    <mergeCell ref="AD1:B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7"/>
  <sheetViews>
    <sheetView workbookViewId="0"/>
  </sheetViews>
  <sheetFormatPr baseColWidth="10" defaultColWidth="12.6640625" defaultRowHeight="15.75" customHeight="1" x14ac:dyDescent="0.15"/>
  <sheetData>
    <row r="1" spans="1:15" x14ac:dyDescent="0.2">
      <c r="A1" s="57" t="s">
        <v>1</v>
      </c>
      <c r="B1" s="58" t="s">
        <v>62</v>
      </c>
      <c r="C1" s="44"/>
      <c r="D1" s="44"/>
      <c r="E1" s="44"/>
      <c r="F1" s="44"/>
      <c r="G1" s="59"/>
      <c r="I1" s="60" t="s">
        <v>1</v>
      </c>
      <c r="J1" s="61" t="s">
        <v>63</v>
      </c>
      <c r="K1" s="44"/>
      <c r="L1" s="44"/>
      <c r="M1" s="44"/>
      <c r="N1" s="44"/>
      <c r="O1" s="59"/>
    </row>
    <row r="2" spans="1:15" ht="15.75" customHeight="1" x14ac:dyDescent="0.15">
      <c r="A2" s="46"/>
      <c r="B2" s="26" t="s">
        <v>23</v>
      </c>
      <c r="C2" s="26" t="s">
        <v>34</v>
      </c>
      <c r="D2" s="26" t="s">
        <v>35</v>
      </c>
      <c r="E2" s="26" t="s">
        <v>36</v>
      </c>
      <c r="F2" s="26" t="s">
        <v>37</v>
      </c>
      <c r="G2" s="26" t="s">
        <v>38</v>
      </c>
      <c r="I2" s="42"/>
      <c r="J2" s="26" t="s">
        <v>23</v>
      </c>
      <c r="K2" s="26" t="s">
        <v>34</v>
      </c>
      <c r="L2" s="26" t="s">
        <v>35</v>
      </c>
      <c r="M2" s="26" t="s">
        <v>36</v>
      </c>
      <c r="N2" s="26" t="s">
        <v>37</v>
      </c>
      <c r="O2" s="26" t="s">
        <v>38</v>
      </c>
    </row>
    <row r="3" spans="1:15" ht="15.75" customHeight="1" x14ac:dyDescent="0.15">
      <c r="A3" s="6"/>
      <c r="B3" s="6">
        <v>22</v>
      </c>
      <c r="C3" s="6">
        <v>22</v>
      </c>
      <c r="D3" s="6">
        <v>22</v>
      </c>
      <c r="E3" s="6">
        <v>22</v>
      </c>
      <c r="F3" s="6">
        <v>22</v>
      </c>
      <c r="G3" s="6">
        <v>22</v>
      </c>
      <c r="I3" s="27">
        <v>45327</v>
      </c>
      <c r="J3" s="6">
        <v>40</v>
      </c>
      <c r="K3" s="6">
        <v>40</v>
      </c>
      <c r="L3" s="6">
        <v>35</v>
      </c>
      <c r="M3" s="6">
        <v>40</v>
      </c>
      <c r="N3" s="6">
        <v>40</v>
      </c>
      <c r="O3" s="6">
        <v>30</v>
      </c>
    </row>
    <row r="4" spans="1:15" ht="15.75" customHeight="1" x14ac:dyDescent="0.15">
      <c r="A4" s="6" t="s">
        <v>58</v>
      </c>
      <c r="B4" s="6">
        <v>15</v>
      </c>
      <c r="C4" s="6">
        <v>10</v>
      </c>
      <c r="D4" s="6">
        <v>10</v>
      </c>
      <c r="E4" s="6">
        <v>10</v>
      </c>
      <c r="F4" s="6">
        <v>10</v>
      </c>
      <c r="G4" s="6">
        <v>25</v>
      </c>
      <c r="I4" s="6"/>
      <c r="J4" s="28"/>
      <c r="K4" s="28"/>
      <c r="L4" s="28"/>
      <c r="M4" s="28"/>
      <c r="N4" s="28"/>
      <c r="O4" s="28"/>
    </row>
    <row r="5" spans="1:15" ht="15.75" customHeight="1" x14ac:dyDescent="0.15">
      <c r="A5" s="28"/>
      <c r="B5" s="28"/>
      <c r="C5" s="28"/>
      <c r="D5" s="28"/>
      <c r="E5" s="28"/>
      <c r="F5" s="28"/>
      <c r="G5" s="28"/>
      <c r="I5" s="6"/>
      <c r="J5" s="28"/>
      <c r="K5" s="28"/>
      <c r="L5" s="28"/>
      <c r="M5" s="28"/>
      <c r="N5" s="28"/>
      <c r="O5" s="28"/>
    </row>
    <row r="6" spans="1:15" ht="15.75" customHeight="1" x14ac:dyDescent="0.15">
      <c r="A6" s="6"/>
      <c r="B6" s="6"/>
      <c r="C6" s="6"/>
      <c r="D6" s="6"/>
      <c r="E6" s="6"/>
      <c r="F6" s="6"/>
      <c r="G6" s="6"/>
      <c r="I6" s="6"/>
      <c r="J6" s="28"/>
      <c r="K6" s="28"/>
      <c r="L6" s="28"/>
      <c r="M6" s="28"/>
      <c r="N6" s="28"/>
      <c r="O6" s="28"/>
    </row>
    <row r="7" spans="1:15" ht="15.75" customHeight="1" x14ac:dyDescent="0.15">
      <c r="A7" s="6"/>
      <c r="B7" s="6"/>
      <c r="C7" s="6"/>
      <c r="D7" s="6"/>
      <c r="E7" s="6"/>
      <c r="F7" s="6"/>
      <c r="G7" s="6"/>
      <c r="I7" s="6"/>
      <c r="J7" s="28"/>
      <c r="K7" s="28"/>
      <c r="L7" s="28"/>
      <c r="M7" s="28"/>
      <c r="N7" s="28"/>
      <c r="O7" s="28"/>
    </row>
    <row r="8" spans="1:15" ht="15.75" customHeight="1" x14ac:dyDescent="0.15">
      <c r="A8" s="6"/>
      <c r="B8" s="6"/>
      <c r="C8" s="6"/>
      <c r="D8" s="6"/>
      <c r="E8" s="6"/>
      <c r="F8" s="6"/>
      <c r="G8" s="6"/>
      <c r="I8" s="6"/>
      <c r="J8" s="28"/>
      <c r="K8" s="28"/>
      <c r="L8" s="28"/>
      <c r="M8" s="28"/>
      <c r="N8" s="28"/>
      <c r="O8" s="28"/>
    </row>
    <row r="9" spans="1:15" ht="15.75" customHeight="1" x14ac:dyDescent="0.15">
      <c r="A9" s="6"/>
      <c r="B9" s="6"/>
      <c r="C9" s="6"/>
      <c r="D9" s="6"/>
      <c r="E9" s="6"/>
      <c r="F9" s="6"/>
      <c r="G9" s="6"/>
      <c r="I9" s="6"/>
      <c r="J9" s="28"/>
      <c r="K9" s="28"/>
      <c r="L9" s="28"/>
      <c r="M9" s="28"/>
      <c r="N9" s="28"/>
      <c r="O9" s="28"/>
    </row>
    <row r="10" spans="1:15" ht="15.75" customHeight="1" x14ac:dyDescent="0.15">
      <c r="A10" s="6"/>
      <c r="B10" s="28"/>
      <c r="C10" s="28"/>
      <c r="D10" s="28"/>
      <c r="E10" s="28"/>
      <c r="F10" s="28"/>
      <c r="G10" s="28"/>
      <c r="I10" s="6"/>
      <c r="J10" s="28"/>
      <c r="K10" s="28"/>
      <c r="L10" s="28"/>
      <c r="M10" s="28"/>
      <c r="N10" s="28"/>
      <c r="O10" s="28"/>
    </row>
    <row r="11" spans="1:15" ht="15.75" customHeight="1" x14ac:dyDescent="0.15">
      <c r="A11" s="6"/>
      <c r="B11" s="28"/>
      <c r="C11" s="28"/>
      <c r="D11" s="28"/>
      <c r="E11" s="28"/>
      <c r="F11" s="28"/>
      <c r="G11" s="28"/>
      <c r="I11" s="6"/>
      <c r="J11" s="28"/>
      <c r="K11" s="28"/>
      <c r="L11" s="28"/>
      <c r="M11" s="28"/>
      <c r="N11" s="28"/>
      <c r="O11" s="28"/>
    </row>
    <row r="12" spans="1:15" ht="15.75" customHeight="1" x14ac:dyDescent="0.15">
      <c r="A12" s="6"/>
      <c r="B12" s="28"/>
      <c r="C12" s="28"/>
      <c r="D12" s="28"/>
      <c r="E12" s="28"/>
      <c r="F12" s="28"/>
      <c r="G12" s="28"/>
      <c r="I12" s="6"/>
      <c r="J12" s="28"/>
      <c r="K12" s="28"/>
      <c r="L12" s="28"/>
      <c r="M12" s="28"/>
      <c r="N12" s="28"/>
      <c r="O12" s="28"/>
    </row>
    <row r="13" spans="1:15" ht="15.75" customHeight="1" x14ac:dyDescent="0.15">
      <c r="A13" s="6"/>
      <c r="B13" s="28"/>
      <c r="C13" s="28"/>
      <c r="D13" s="28"/>
      <c r="E13" s="28"/>
      <c r="F13" s="28"/>
      <c r="G13" s="28"/>
      <c r="I13" s="6"/>
      <c r="J13" s="28"/>
      <c r="K13" s="28"/>
      <c r="L13" s="28"/>
      <c r="M13" s="28"/>
      <c r="N13" s="28"/>
      <c r="O13" s="28"/>
    </row>
    <row r="14" spans="1:15" ht="15.75" customHeight="1" x14ac:dyDescent="0.15">
      <c r="A14" s="6"/>
      <c r="B14" s="28"/>
      <c r="C14" s="28"/>
      <c r="D14" s="28"/>
      <c r="E14" s="28"/>
      <c r="F14" s="28"/>
      <c r="G14" s="28"/>
      <c r="I14" s="6"/>
      <c r="J14" s="28"/>
      <c r="K14" s="28"/>
      <c r="L14" s="28"/>
      <c r="M14" s="28"/>
      <c r="N14" s="28"/>
      <c r="O14" s="28"/>
    </row>
    <row r="15" spans="1:15" ht="15.75" customHeight="1" x14ac:dyDescent="0.15">
      <c r="A15" s="6"/>
      <c r="B15" s="28"/>
      <c r="C15" s="28"/>
      <c r="D15" s="28"/>
      <c r="E15" s="28"/>
      <c r="F15" s="28"/>
      <c r="G15" s="28"/>
      <c r="I15" s="6"/>
      <c r="J15" s="28"/>
      <c r="K15" s="28"/>
      <c r="L15" s="28"/>
      <c r="M15" s="28"/>
      <c r="N15" s="28"/>
      <c r="O15" s="28"/>
    </row>
    <row r="16" spans="1:15" ht="15.75" customHeight="1" x14ac:dyDescent="0.15">
      <c r="A16" s="6"/>
      <c r="B16" s="28"/>
      <c r="C16" s="28"/>
      <c r="D16" s="28"/>
      <c r="E16" s="28"/>
      <c r="F16" s="28"/>
      <c r="G16" s="28"/>
      <c r="I16" s="6"/>
      <c r="J16" s="28"/>
      <c r="K16" s="28"/>
      <c r="L16" s="28"/>
      <c r="M16" s="28"/>
      <c r="N16" s="28"/>
      <c r="O16" s="28"/>
    </row>
    <row r="17" spans="1:15" ht="15.75" customHeight="1" x14ac:dyDescent="0.15">
      <c r="A17" s="6"/>
      <c r="B17" s="28"/>
      <c r="C17" s="28"/>
      <c r="D17" s="28"/>
      <c r="E17" s="28"/>
      <c r="F17" s="28"/>
      <c r="G17" s="28"/>
      <c r="I17" s="6"/>
      <c r="J17" s="28"/>
      <c r="K17" s="28"/>
      <c r="L17" s="28"/>
      <c r="M17" s="28"/>
      <c r="N17" s="28"/>
      <c r="O17" s="28"/>
    </row>
    <row r="18" spans="1:15" ht="15.75" customHeight="1" x14ac:dyDescent="0.15">
      <c r="A18" s="6"/>
      <c r="B18" s="28"/>
      <c r="C18" s="28"/>
      <c r="D18" s="28"/>
      <c r="E18" s="28"/>
      <c r="F18" s="28"/>
      <c r="G18" s="28"/>
      <c r="I18" s="6"/>
      <c r="J18" s="28"/>
      <c r="K18" s="28"/>
      <c r="L18" s="28"/>
      <c r="M18" s="28"/>
      <c r="N18" s="28"/>
      <c r="O18" s="28"/>
    </row>
    <row r="19" spans="1:15" ht="15.75" customHeight="1" x14ac:dyDescent="0.15">
      <c r="A19" s="6"/>
      <c r="B19" s="28"/>
      <c r="C19" s="28"/>
      <c r="D19" s="28"/>
      <c r="E19" s="28"/>
      <c r="F19" s="28"/>
      <c r="G19" s="28"/>
      <c r="I19" s="6"/>
      <c r="J19" s="28"/>
      <c r="K19" s="28"/>
      <c r="L19" s="28"/>
      <c r="M19" s="28"/>
      <c r="N19" s="28"/>
      <c r="O19" s="28"/>
    </row>
    <row r="20" spans="1:15" ht="15.75" customHeight="1" x14ac:dyDescent="0.15">
      <c r="A20" s="6"/>
      <c r="B20" s="28"/>
      <c r="C20" s="28"/>
      <c r="D20" s="28"/>
      <c r="E20" s="28"/>
      <c r="F20" s="28"/>
      <c r="G20" s="28"/>
      <c r="I20" s="6"/>
      <c r="J20" s="28"/>
      <c r="K20" s="28"/>
      <c r="L20" s="28"/>
      <c r="M20" s="28"/>
      <c r="N20" s="28"/>
      <c r="O20" s="28"/>
    </row>
    <row r="21" spans="1:15" ht="15.75" customHeight="1" x14ac:dyDescent="0.15">
      <c r="A21" s="6"/>
      <c r="B21" s="28"/>
      <c r="C21" s="28"/>
      <c r="D21" s="28"/>
      <c r="E21" s="28"/>
      <c r="F21" s="28"/>
      <c r="G21" s="28"/>
      <c r="I21" s="6"/>
      <c r="J21" s="28"/>
      <c r="K21" s="28"/>
      <c r="L21" s="28"/>
      <c r="M21" s="28"/>
      <c r="N21" s="28"/>
      <c r="O21" s="28"/>
    </row>
    <row r="22" spans="1:15" ht="15.75" customHeight="1" x14ac:dyDescent="0.15">
      <c r="A22" s="6"/>
      <c r="B22" s="28"/>
      <c r="C22" s="28"/>
      <c r="D22" s="28"/>
      <c r="E22" s="28"/>
      <c r="F22" s="28"/>
      <c r="G22" s="28"/>
      <c r="I22" s="6"/>
      <c r="J22" s="28"/>
      <c r="K22" s="28"/>
      <c r="L22" s="28"/>
      <c r="M22" s="28"/>
      <c r="N22" s="28"/>
      <c r="O22" s="28"/>
    </row>
    <row r="23" spans="1:15" ht="15.75" customHeight="1" x14ac:dyDescent="0.15">
      <c r="A23" s="6"/>
      <c r="B23" s="28"/>
      <c r="C23" s="28"/>
      <c r="D23" s="28"/>
      <c r="E23" s="28"/>
      <c r="F23" s="28"/>
      <c r="G23" s="28"/>
      <c r="I23" s="6"/>
      <c r="J23" s="28"/>
      <c r="K23" s="28"/>
      <c r="L23" s="28"/>
      <c r="M23" s="28"/>
      <c r="N23" s="28"/>
      <c r="O23" s="28"/>
    </row>
    <row r="24" spans="1:15" ht="15.75" customHeight="1" x14ac:dyDescent="0.15">
      <c r="A24" s="6"/>
      <c r="B24" s="28"/>
      <c r="C24" s="28"/>
      <c r="D24" s="28"/>
      <c r="E24" s="28"/>
      <c r="F24" s="28"/>
      <c r="G24" s="28"/>
      <c r="I24" s="6"/>
      <c r="J24" s="28"/>
      <c r="K24" s="28"/>
      <c r="L24" s="28"/>
      <c r="M24" s="28"/>
      <c r="N24" s="28"/>
      <c r="O24" s="28"/>
    </row>
    <row r="25" spans="1:15" ht="15.75" customHeight="1" x14ac:dyDescent="0.15">
      <c r="A25" s="12"/>
    </row>
    <row r="26" spans="1:15" ht="15.75" customHeight="1" x14ac:dyDescent="0.15">
      <c r="A26" s="29" t="s">
        <v>64</v>
      </c>
      <c r="B26" s="6">
        <f t="shared" ref="B26:G26" si="0">SUM(B3:B24)</f>
        <v>37</v>
      </c>
      <c r="C26" s="6">
        <f t="shared" si="0"/>
        <v>32</v>
      </c>
      <c r="D26" s="6">
        <f t="shared" si="0"/>
        <v>32</v>
      </c>
      <c r="E26" s="6">
        <f t="shared" si="0"/>
        <v>32</v>
      </c>
      <c r="F26" s="6">
        <f t="shared" si="0"/>
        <v>32</v>
      </c>
      <c r="G26" s="6">
        <f t="shared" si="0"/>
        <v>47</v>
      </c>
      <c r="I26" s="29" t="s">
        <v>64</v>
      </c>
      <c r="J26" s="6">
        <f t="shared" ref="J26:O26" si="1">SUM(J3:J24)</f>
        <v>40</v>
      </c>
      <c r="K26" s="6">
        <f t="shared" si="1"/>
        <v>40</v>
      </c>
      <c r="L26" s="6">
        <f t="shared" si="1"/>
        <v>35</v>
      </c>
      <c r="M26" s="6">
        <f t="shared" si="1"/>
        <v>40</v>
      </c>
      <c r="N26" s="6">
        <f t="shared" si="1"/>
        <v>40</v>
      </c>
      <c r="O26" s="6">
        <f t="shared" si="1"/>
        <v>30</v>
      </c>
    </row>
    <row r="27" spans="1:15" ht="15.75" customHeight="1" x14ac:dyDescent="0.15">
      <c r="A27" s="12"/>
    </row>
  </sheetData>
  <mergeCells count="4">
    <mergeCell ref="A1:A2"/>
    <mergeCell ref="B1:G1"/>
    <mergeCell ref="I1:I2"/>
    <mergeCell ref="J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6" max="6" width="19.6640625" customWidth="1"/>
  </cols>
  <sheetData>
    <row r="1" spans="1:26" ht="15.75" customHeight="1" x14ac:dyDescent="0.15">
      <c r="A1" s="62" t="s">
        <v>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 x14ac:dyDescent="0.15">
      <c r="A2" s="3" t="s">
        <v>66</v>
      </c>
      <c r="B2" s="3" t="s">
        <v>67</v>
      </c>
      <c r="C2" s="3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3" t="s">
        <v>74</v>
      </c>
      <c r="J2" s="2" t="s">
        <v>75</v>
      </c>
      <c r="K2" s="2" t="s">
        <v>76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 x14ac:dyDescent="0.15">
      <c r="A3" s="4">
        <v>1</v>
      </c>
      <c r="B3" s="5">
        <v>317</v>
      </c>
      <c r="C3" s="5">
        <v>55</v>
      </c>
      <c r="D3" s="5">
        <v>15</v>
      </c>
      <c r="E3" s="5">
        <f t="shared" ref="E3:E14" si="0">C3-D3</f>
        <v>40</v>
      </c>
      <c r="F3" s="5" t="s">
        <v>77</v>
      </c>
      <c r="G3" s="31">
        <v>2</v>
      </c>
      <c r="H3" s="5">
        <v>272</v>
      </c>
      <c r="I3" s="5">
        <v>264</v>
      </c>
      <c r="J3" s="5">
        <f t="shared" ref="J3:J14" si="1">B3-H3</f>
        <v>45</v>
      </c>
      <c r="K3" s="5">
        <v>37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.75" customHeight="1" x14ac:dyDescent="0.15">
      <c r="A4" s="4">
        <v>2</v>
      </c>
      <c r="B4" s="5">
        <v>270</v>
      </c>
      <c r="C4" s="5">
        <v>50</v>
      </c>
      <c r="D4" s="31">
        <v>16</v>
      </c>
      <c r="E4" s="5">
        <f t="shared" si="0"/>
        <v>34</v>
      </c>
      <c r="F4" s="5" t="s">
        <v>78</v>
      </c>
      <c r="G4" s="31">
        <v>2</v>
      </c>
      <c r="H4" s="5">
        <v>248</v>
      </c>
      <c r="I4" s="5">
        <v>239</v>
      </c>
      <c r="J4" s="5">
        <f t="shared" si="1"/>
        <v>22</v>
      </c>
      <c r="K4" s="5">
        <v>29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.75" customHeight="1" x14ac:dyDescent="0.15">
      <c r="A5" s="4">
        <v>3</v>
      </c>
      <c r="B5" s="5">
        <v>311</v>
      </c>
      <c r="C5" s="5">
        <v>52</v>
      </c>
      <c r="D5" s="5">
        <v>14</v>
      </c>
      <c r="E5" s="5">
        <f t="shared" si="0"/>
        <v>38</v>
      </c>
      <c r="F5" s="31" t="s">
        <v>79</v>
      </c>
      <c r="G5" s="31">
        <v>2</v>
      </c>
      <c r="H5" s="31">
        <v>292</v>
      </c>
      <c r="I5" s="5">
        <v>283</v>
      </c>
      <c r="J5" s="5">
        <f t="shared" si="1"/>
        <v>19</v>
      </c>
      <c r="K5" s="5">
        <v>38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customHeight="1" x14ac:dyDescent="0.15">
      <c r="A6" s="4">
        <v>4</v>
      </c>
      <c r="B6" s="5">
        <v>360</v>
      </c>
      <c r="C6" s="5">
        <v>70</v>
      </c>
      <c r="D6" s="5">
        <v>17</v>
      </c>
      <c r="E6" s="5">
        <f t="shared" si="0"/>
        <v>53</v>
      </c>
      <c r="F6" s="5" t="s">
        <v>80</v>
      </c>
      <c r="G6" s="31">
        <v>2.5</v>
      </c>
      <c r="H6" s="5">
        <v>300</v>
      </c>
      <c r="I6" s="5">
        <v>293</v>
      </c>
      <c r="J6" s="5">
        <f t="shared" si="1"/>
        <v>60</v>
      </c>
      <c r="K6" s="5">
        <v>37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.75" customHeight="1" x14ac:dyDescent="0.15">
      <c r="A7" s="4">
        <v>5</v>
      </c>
      <c r="B7" s="5">
        <v>326</v>
      </c>
      <c r="C7" s="5">
        <v>67</v>
      </c>
      <c r="D7" s="5">
        <v>19</v>
      </c>
      <c r="E7" s="5">
        <f t="shared" si="0"/>
        <v>48</v>
      </c>
      <c r="F7" s="5" t="s">
        <v>81</v>
      </c>
      <c r="G7" s="31">
        <v>2.1</v>
      </c>
      <c r="H7" s="31">
        <v>300</v>
      </c>
      <c r="I7" s="5">
        <v>300</v>
      </c>
      <c r="J7" s="5">
        <f t="shared" si="1"/>
        <v>26</v>
      </c>
      <c r="K7" s="5">
        <v>34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15">
      <c r="A8" s="4">
        <v>6</v>
      </c>
      <c r="B8" s="5">
        <v>255</v>
      </c>
      <c r="C8" s="5">
        <v>58</v>
      </c>
      <c r="D8" s="5">
        <v>17</v>
      </c>
      <c r="E8" s="5">
        <f t="shared" si="0"/>
        <v>41</v>
      </c>
      <c r="F8" s="5" t="s">
        <v>82</v>
      </c>
      <c r="G8" s="31">
        <v>1.8</v>
      </c>
      <c r="H8" s="5">
        <v>227</v>
      </c>
      <c r="I8" s="5">
        <v>222</v>
      </c>
      <c r="J8" s="5">
        <f t="shared" si="1"/>
        <v>28</v>
      </c>
      <c r="K8" s="5">
        <v>33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 x14ac:dyDescent="0.15">
      <c r="A9" s="4">
        <v>7</v>
      </c>
      <c r="B9" s="5">
        <v>392</v>
      </c>
      <c r="C9" s="5">
        <v>60</v>
      </c>
      <c r="D9" s="5">
        <v>19</v>
      </c>
      <c r="E9" s="5">
        <f t="shared" si="0"/>
        <v>41</v>
      </c>
      <c r="F9" s="5" t="s">
        <v>79</v>
      </c>
      <c r="G9" s="31">
        <v>2</v>
      </c>
      <c r="H9" s="5">
        <v>343</v>
      </c>
      <c r="I9" s="5">
        <v>337</v>
      </c>
      <c r="J9" s="5">
        <f t="shared" si="1"/>
        <v>49</v>
      </c>
      <c r="K9" s="5">
        <v>41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 x14ac:dyDescent="0.15">
      <c r="A10" s="4">
        <v>8</v>
      </c>
      <c r="B10" s="5">
        <v>218</v>
      </c>
      <c r="C10" s="5">
        <v>43</v>
      </c>
      <c r="D10" s="5">
        <v>17</v>
      </c>
      <c r="E10" s="5">
        <f t="shared" si="0"/>
        <v>26</v>
      </c>
      <c r="F10" s="5" t="s">
        <v>83</v>
      </c>
      <c r="G10" s="31">
        <v>2</v>
      </c>
      <c r="H10" s="5">
        <v>184</v>
      </c>
      <c r="I10" s="5">
        <v>180</v>
      </c>
      <c r="J10" s="5">
        <f t="shared" si="1"/>
        <v>34</v>
      </c>
      <c r="K10" s="5">
        <v>38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 x14ac:dyDescent="0.15">
      <c r="A11" s="4">
        <v>9</v>
      </c>
      <c r="B11" s="5">
        <v>300</v>
      </c>
      <c r="C11" s="5">
        <v>61</v>
      </c>
      <c r="D11" s="5">
        <v>16</v>
      </c>
      <c r="E11" s="5">
        <f t="shared" si="0"/>
        <v>45</v>
      </c>
      <c r="F11" s="5" t="s">
        <v>84</v>
      </c>
      <c r="G11" s="31">
        <v>2</v>
      </c>
      <c r="H11" s="5">
        <v>251</v>
      </c>
      <c r="I11" s="5">
        <v>249</v>
      </c>
      <c r="J11" s="5">
        <f t="shared" si="1"/>
        <v>49</v>
      </c>
      <c r="K11" s="5">
        <v>33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15">
      <c r="A12" s="4">
        <v>10</v>
      </c>
      <c r="B12" s="5">
        <v>327</v>
      </c>
      <c r="C12" s="5">
        <v>64</v>
      </c>
      <c r="D12" s="5">
        <v>18</v>
      </c>
      <c r="E12" s="5">
        <f t="shared" si="0"/>
        <v>46</v>
      </c>
      <c r="F12" s="5" t="s">
        <v>82</v>
      </c>
      <c r="G12" s="5">
        <v>2</v>
      </c>
      <c r="H12" s="5">
        <v>282</v>
      </c>
      <c r="I12" s="5">
        <v>282</v>
      </c>
      <c r="J12" s="5">
        <f t="shared" si="1"/>
        <v>45</v>
      </c>
      <c r="K12" s="5">
        <v>41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 x14ac:dyDescent="0.15">
      <c r="A13" s="4">
        <v>11</v>
      </c>
      <c r="B13" s="5">
        <v>297</v>
      </c>
      <c r="C13" s="5">
        <v>56</v>
      </c>
      <c r="D13" s="5">
        <v>17</v>
      </c>
      <c r="E13" s="5">
        <f t="shared" si="0"/>
        <v>39</v>
      </c>
      <c r="F13" s="5" t="s">
        <v>85</v>
      </c>
      <c r="G13" s="5">
        <v>2</v>
      </c>
      <c r="H13" s="5">
        <v>254</v>
      </c>
      <c r="I13" s="5">
        <v>253</v>
      </c>
      <c r="J13" s="5">
        <f t="shared" si="1"/>
        <v>43</v>
      </c>
      <c r="K13" s="5">
        <v>36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15">
      <c r="A14" s="32">
        <v>12</v>
      </c>
      <c r="B14" s="5">
        <v>251</v>
      </c>
      <c r="C14" s="5">
        <v>44</v>
      </c>
      <c r="D14" s="5">
        <v>19</v>
      </c>
      <c r="E14" s="5">
        <f t="shared" si="0"/>
        <v>25</v>
      </c>
      <c r="F14" s="5" t="s">
        <v>86</v>
      </c>
      <c r="G14" s="5">
        <v>2</v>
      </c>
      <c r="H14" s="5">
        <v>200</v>
      </c>
      <c r="I14" s="5">
        <v>200</v>
      </c>
      <c r="J14" s="5">
        <f t="shared" si="1"/>
        <v>51</v>
      </c>
      <c r="K14" s="5">
        <v>38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 x14ac:dyDescent="0.15">
      <c r="A15" s="30"/>
      <c r="B15" s="33">
        <f>AVERAGE(B3:B14)</f>
        <v>302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 x14ac:dyDescent="0.1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 x14ac:dyDescent="0.15">
      <c r="A17" s="62" t="s">
        <v>87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 x14ac:dyDescent="0.15">
      <c r="A18" s="3" t="s">
        <v>66</v>
      </c>
      <c r="B18" s="3" t="s">
        <v>67</v>
      </c>
      <c r="C18" s="3" t="s">
        <v>68</v>
      </c>
      <c r="D18" s="2" t="s">
        <v>69</v>
      </c>
      <c r="E18" s="2" t="s">
        <v>70</v>
      </c>
      <c r="F18" s="2" t="s">
        <v>71</v>
      </c>
      <c r="G18" s="2" t="s">
        <v>72</v>
      </c>
      <c r="H18" s="2" t="s">
        <v>73</v>
      </c>
      <c r="I18" s="3" t="s">
        <v>74</v>
      </c>
      <c r="J18" s="2" t="s">
        <v>75</v>
      </c>
      <c r="K18" s="2" t="s">
        <v>76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customHeight="1" x14ac:dyDescent="0.15">
      <c r="A19" s="4">
        <v>1</v>
      </c>
      <c r="B19" s="5">
        <v>333</v>
      </c>
      <c r="C19" s="5">
        <v>64</v>
      </c>
      <c r="D19" s="5">
        <v>15</v>
      </c>
      <c r="E19" s="5">
        <f t="shared" ref="E19:E30" si="2">C19-D19</f>
        <v>49</v>
      </c>
      <c r="F19" s="5" t="s">
        <v>88</v>
      </c>
      <c r="G19" s="5">
        <v>2</v>
      </c>
      <c r="H19" s="5">
        <v>290</v>
      </c>
      <c r="I19" s="5">
        <v>290</v>
      </c>
      <c r="J19" s="5">
        <f t="shared" ref="J19:J30" si="3">B19-H19</f>
        <v>43</v>
      </c>
      <c r="K19" s="5">
        <v>39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.75" customHeight="1" x14ac:dyDescent="0.15">
      <c r="A20" s="4">
        <v>2</v>
      </c>
      <c r="B20" s="5">
        <v>342</v>
      </c>
      <c r="C20" s="5">
        <v>64</v>
      </c>
      <c r="D20" s="31">
        <v>21</v>
      </c>
      <c r="E20" s="5">
        <f t="shared" si="2"/>
        <v>43</v>
      </c>
      <c r="F20" s="5" t="s">
        <v>89</v>
      </c>
      <c r="G20" s="5">
        <v>2</v>
      </c>
      <c r="H20" s="5">
        <v>302</v>
      </c>
      <c r="I20" s="5">
        <v>300</v>
      </c>
      <c r="J20" s="5">
        <f t="shared" si="3"/>
        <v>40</v>
      </c>
      <c r="K20" s="5">
        <v>46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.75" customHeight="1" x14ac:dyDescent="0.15">
      <c r="A21" s="4">
        <v>3</v>
      </c>
      <c r="B21" s="5">
        <v>327</v>
      </c>
      <c r="C21" s="5">
        <v>64</v>
      </c>
      <c r="D21" s="5">
        <v>19</v>
      </c>
      <c r="E21" s="5">
        <f t="shared" si="2"/>
        <v>45</v>
      </c>
      <c r="F21" s="31" t="s">
        <v>90</v>
      </c>
      <c r="G21" s="31">
        <v>2</v>
      </c>
      <c r="H21" s="31">
        <v>288</v>
      </c>
      <c r="I21" s="5">
        <v>280</v>
      </c>
      <c r="J21" s="5">
        <f t="shared" si="3"/>
        <v>39</v>
      </c>
      <c r="K21" s="5">
        <v>42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.75" customHeight="1" x14ac:dyDescent="0.15">
      <c r="A22" s="4">
        <v>4</v>
      </c>
      <c r="B22" s="5">
        <v>324</v>
      </c>
      <c r="C22" s="5">
        <v>50</v>
      </c>
      <c r="D22" s="5">
        <v>19</v>
      </c>
      <c r="E22" s="5">
        <f t="shared" si="2"/>
        <v>31</v>
      </c>
      <c r="F22" s="5" t="s">
        <v>89</v>
      </c>
      <c r="G22" s="5">
        <v>2.5</v>
      </c>
      <c r="H22" s="5">
        <v>282</v>
      </c>
      <c r="I22" s="5">
        <v>275</v>
      </c>
      <c r="J22" s="5">
        <f t="shared" si="3"/>
        <v>42</v>
      </c>
      <c r="K22" s="5">
        <v>43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.75" customHeight="1" x14ac:dyDescent="0.15">
      <c r="A23" s="4">
        <v>5</v>
      </c>
      <c r="B23" s="5">
        <v>280</v>
      </c>
      <c r="C23" s="5">
        <v>68</v>
      </c>
      <c r="D23" s="5">
        <v>19</v>
      </c>
      <c r="E23" s="5">
        <f t="shared" si="2"/>
        <v>49</v>
      </c>
      <c r="F23" s="5" t="s">
        <v>91</v>
      </c>
      <c r="G23" s="31">
        <v>2</v>
      </c>
      <c r="H23" s="31">
        <v>246</v>
      </c>
      <c r="I23" s="5">
        <v>245</v>
      </c>
      <c r="J23" s="5">
        <f t="shared" si="3"/>
        <v>34</v>
      </c>
      <c r="K23" s="5">
        <v>40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 x14ac:dyDescent="0.15">
      <c r="A24" s="4">
        <v>6</v>
      </c>
      <c r="B24" s="5">
        <v>368</v>
      </c>
      <c r="C24" s="5">
        <v>67</v>
      </c>
      <c r="D24" s="5">
        <v>20</v>
      </c>
      <c r="E24" s="5">
        <f t="shared" si="2"/>
        <v>47</v>
      </c>
      <c r="F24" s="5" t="s">
        <v>92</v>
      </c>
      <c r="G24" s="5">
        <v>2</v>
      </c>
      <c r="H24" s="5">
        <v>348</v>
      </c>
      <c r="I24" s="5">
        <v>347</v>
      </c>
      <c r="J24" s="5">
        <f t="shared" si="3"/>
        <v>20</v>
      </c>
      <c r="K24" s="5">
        <v>46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 x14ac:dyDescent="0.15">
      <c r="A25" s="4">
        <v>7</v>
      </c>
      <c r="B25" s="5">
        <v>335</v>
      </c>
      <c r="C25" s="31">
        <v>62</v>
      </c>
      <c r="D25" s="31">
        <v>17.5</v>
      </c>
      <c r="E25" s="5">
        <f t="shared" si="2"/>
        <v>44.5</v>
      </c>
      <c r="F25" s="5" t="s">
        <v>93</v>
      </c>
      <c r="G25" s="5">
        <v>2</v>
      </c>
      <c r="H25" s="5">
        <v>297</v>
      </c>
      <c r="I25" s="5">
        <v>297</v>
      </c>
      <c r="J25" s="5">
        <f t="shared" si="3"/>
        <v>38</v>
      </c>
      <c r="K25" s="5">
        <v>46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.75" customHeight="1" x14ac:dyDescent="0.15">
      <c r="A26" s="4">
        <v>8</v>
      </c>
      <c r="B26" s="5">
        <v>290</v>
      </c>
      <c r="C26" s="31">
        <v>72</v>
      </c>
      <c r="D26" s="31">
        <v>19</v>
      </c>
      <c r="E26" s="5">
        <f t="shared" si="2"/>
        <v>53</v>
      </c>
      <c r="F26" s="5" t="s">
        <v>94</v>
      </c>
      <c r="G26" s="5">
        <v>2</v>
      </c>
      <c r="H26" s="5">
        <v>260</v>
      </c>
      <c r="I26" s="5">
        <v>258</v>
      </c>
      <c r="J26" s="5">
        <f t="shared" si="3"/>
        <v>30</v>
      </c>
      <c r="K26" s="5">
        <v>45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 x14ac:dyDescent="0.15">
      <c r="A27" s="4">
        <v>9</v>
      </c>
      <c r="B27" s="5">
        <v>325</v>
      </c>
      <c r="C27" s="31">
        <v>60</v>
      </c>
      <c r="D27" s="31">
        <v>19</v>
      </c>
      <c r="E27" s="5">
        <f t="shared" si="2"/>
        <v>41</v>
      </c>
      <c r="F27" s="5" t="s">
        <v>95</v>
      </c>
      <c r="G27" s="5">
        <v>2</v>
      </c>
      <c r="H27" s="5">
        <v>286</v>
      </c>
      <c r="I27" s="5">
        <v>277</v>
      </c>
      <c r="J27" s="5">
        <f t="shared" si="3"/>
        <v>39</v>
      </c>
      <c r="K27" s="5">
        <v>45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 x14ac:dyDescent="0.15">
      <c r="A28" s="4">
        <v>10</v>
      </c>
      <c r="B28" s="5">
        <v>347</v>
      </c>
      <c r="C28" s="31">
        <v>56</v>
      </c>
      <c r="D28" s="31">
        <v>19</v>
      </c>
      <c r="E28" s="5">
        <f t="shared" si="2"/>
        <v>37</v>
      </c>
      <c r="F28" s="5" t="s">
        <v>96</v>
      </c>
      <c r="G28" s="5">
        <v>2</v>
      </c>
      <c r="H28" s="5">
        <v>308</v>
      </c>
      <c r="I28" s="5">
        <v>308</v>
      </c>
      <c r="J28" s="5">
        <f t="shared" si="3"/>
        <v>39</v>
      </c>
      <c r="K28" s="5">
        <v>40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15">
      <c r="A29" s="4">
        <v>11</v>
      </c>
      <c r="B29" s="5">
        <v>330</v>
      </c>
      <c r="C29" s="31">
        <v>50</v>
      </c>
      <c r="D29" s="31">
        <v>19</v>
      </c>
      <c r="E29" s="5">
        <f t="shared" si="2"/>
        <v>31</v>
      </c>
      <c r="F29" s="5" t="s">
        <v>97</v>
      </c>
      <c r="G29" s="5">
        <v>2</v>
      </c>
      <c r="H29" s="5">
        <v>312</v>
      </c>
      <c r="I29" s="5">
        <v>311</v>
      </c>
      <c r="J29" s="5">
        <f t="shared" si="3"/>
        <v>18</v>
      </c>
      <c r="K29" s="5">
        <v>40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15">
      <c r="A30" s="34">
        <v>12</v>
      </c>
      <c r="B30" s="5">
        <v>335</v>
      </c>
      <c r="C30" s="31">
        <v>56</v>
      </c>
      <c r="D30" s="31">
        <v>18</v>
      </c>
      <c r="E30" s="5">
        <f t="shared" si="2"/>
        <v>38</v>
      </c>
      <c r="F30" s="5" t="s">
        <v>93</v>
      </c>
      <c r="G30" s="5">
        <v>2</v>
      </c>
      <c r="H30" s="5">
        <v>290</v>
      </c>
      <c r="I30" s="5">
        <v>285</v>
      </c>
      <c r="J30" s="5">
        <f t="shared" si="3"/>
        <v>45</v>
      </c>
      <c r="K30" s="5">
        <v>49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 x14ac:dyDescent="0.15">
      <c r="A31" s="30"/>
      <c r="B31" s="33">
        <f>AVERAGE(B19:B30)</f>
        <v>328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1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 x14ac:dyDescent="0.15">
      <c r="A33" s="62" t="s">
        <v>98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15">
      <c r="A34" s="3" t="s">
        <v>66</v>
      </c>
      <c r="B34" s="3" t="s">
        <v>67</v>
      </c>
      <c r="C34" s="3" t="s">
        <v>68</v>
      </c>
      <c r="D34" s="2" t="s">
        <v>69</v>
      </c>
      <c r="E34" s="2" t="s">
        <v>70</v>
      </c>
      <c r="F34" s="2" t="s">
        <v>71</v>
      </c>
      <c r="G34" s="2" t="s">
        <v>72</v>
      </c>
      <c r="H34" s="2" t="s">
        <v>73</v>
      </c>
      <c r="I34" s="3" t="s">
        <v>74</v>
      </c>
      <c r="J34" s="2" t="s">
        <v>75</v>
      </c>
      <c r="K34" s="2" t="s">
        <v>76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 x14ac:dyDescent="0.15">
      <c r="A35" s="4">
        <v>1</v>
      </c>
      <c r="B35" s="5">
        <v>249</v>
      </c>
      <c r="C35" s="5">
        <v>67</v>
      </c>
      <c r="D35" s="5">
        <v>19</v>
      </c>
      <c r="E35" s="31">
        <f t="shared" ref="E35:E46" si="4">C35-D35</f>
        <v>48</v>
      </c>
      <c r="F35" s="31" t="s">
        <v>99</v>
      </c>
      <c r="G35" s="31">
        <v>2</v>
      </c>
      <c r="H35" s="31">
        <v>219</v>
      </c>
      <c r="I35" s="31">
        <v>213</v>
      </c>
      <c r="J35" s="31">
        <f t="shared" ref="J35:J46" si="5">B35-H35</f>
        <v>30</v>
      </c>
      <c r="K35" s="5">
        <v>35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15">
      <c r="A36" s="4">
        <v>2</v>
      </c>
      <c r="B36" s="5">
        <v>309</v>
      </c>
      <c r="C36" s="5">
        <v>50</v>
      </c>
      <c r="D36" s="31">
        <v>18</v>
      </c>
      <c r="E36" s="31">
        <f t="shared" si="4"/>
        <v>32</v>
      </c>
      <c r="F36" s="31" t="s">
        <v>86</v>
      </c>
      <c r="G36" s="31">
        <v>1.8</v>
      </c>
      <c r="H36" s="31">
        <v>277</v>
      </c>
      <c r="I36" s="31">
        <v>276</v>
      </c>
      <c r="J36" s="31">
        <f t="shared" si="5"/>
        <v>32</v>
      </c>
      <c r="K36" s="5">
        <v>43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 x14ac:dyDescent="0.15">
      <c r="A37" s="4">
        <v>3</v>
      </c>
      <c r="B37" s="5">
        <v>282</v>
      </c>
      <c r="C37" s="5">
        <v>52</v>
      </c>
      <c r="D37" s="5">
        <v>17</v>
      </c>
      <c r="E37" s="31">
        <f t="shared" si="4"/>
        <v>35</v>
      </c>
      <c r="F37" s="31" t="s">
        <v>100</v>
      </c>
      <c r="G37" s="31">
        <v>2</v>
      </c>
      <c r="H37" s="31">
        <v>255</v>
      </c>
      <c r="I37" s="31">
        <v>250</v>
      </c>
      <c r="J37" s="31">
        <f t="shared" si="5"/>
        <v>27</v>
      </c>
      <c r="K37" s="5">
        <v>47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15">
      <c r="A38" s="4">
        <v>4</v>
      </c>
      <c r="B38" s="5">
        <v>320</v>
      </c>
      <c r="C38" s="5">
        <v>55</v>
      </c>
      <c r="D38" s="5">
        <v>19</v>
      </c>
      <c r="E38" s="31">
        <f t="shared" si="4"/>
        <v>36</v>
      </c>
      <c r="F38" s="31" t="s">
        <v>101</v>
      </c>
      <c r="G38" s="31">
        <v>2</v>
      </c>
      <c r="H38" s="31">
        <v>282</v>
      </c>
      <c r="I38" s="31">
        <v>281</v>
      </c>
      <c r="J38" s="31">
        <f t="shared" si="5"/>
        <v>38</v>
      </c>
      <c r="K38" s="5">
        <v>44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 x14ac:dyDescent="0.15">
      <c r="A39" s="4">
        <v>5</v>
      </c>
      <c r="B39" s="5">
        <v>325</v>
      </c>
      <c r="C39" s="5">
        <v>53</v>
      </c>
      <c r="D39" s="5">
        <v>20</v>
      </c>
      <c r="E39" s="31">
        <f t="shared" si="4"/>
        <v>33</v>
      </c>
      <c r="F39" s="31" t="s">
        <v>95</v>
      </c>
      <c r="G39" s="31">
        <v>2</v>
      </c>
      <c r="H39" s="31">
        <v>299</v>
      </c>
      <c r="I39" s="31">
        <v>298</v>
      </c>
      <c r="J39" s="31">
        <f t="shared" si="5"/>
        <v>26</v>
      </c>
      <c r="K39" s="5">
        <v>44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15">
      <c r="A40" s="4">
        <v>6</v>
      </c>
      <c r="B40" s="5">
        <v>311</v>
      </c>
      <c r="C40" s="5">
        <v>62</v>
      </c>
      <c r="D40" s="5">
        <v>20</v>
      </c>
      <c r="E40" s="31">
        <f t="shared" si="4"/>
        <v>42</v>
      </c>
      <c r="F40" s="31" t="s">
        <v>102</v>
      </c>
      <c r="G40" s="31">
        <v>2</v>
      </c>
      <c r="H40" s="31">
        <v>275</v>
      </c>
      <c r="I40" s="31">
        <v>275</v>
      </c>
      <c r="J40" s="31">
        <f t="shared" si="5"/>
        <v>36</v>
      </c>
      <c r="K40" s="5">
        <v>42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 x14ac:dyDescent="0.15">
      <c r="A41" s="4">
        <v>7</v>
      </c>
      <c r="B41" s="5">
        <v>261</v>
      </c>
      <c r="C41" s="5">
        <v>73</v>
      </c>
      <c r="D41" s="5">
        <v>17</v>
      </c>
      <c r="E41" s="31">
        <f t="shared" si="4"/>
        <v>56</v>
      </c>
      <c r="F41" s="31" t="s">
        <v>93</v>
      </c>
      <c r="G41" s="31">
        <v>2</v>
      </c>
      <c r="H41" s="31">
        <v>232</v>
      </c>
      <c r="I41" s="31">
        <v>230</v>
      </c>
      <c r="J41" s="31">
        <f t="shared" si="5"/>
        <v>29</v>
      </c>
      <c r="K41" s="5">
        <v>40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15">
      <c r="A42" s="4">
        <v>8</v>
      </c>
      <c r="B42" s="5">
        <v>249</v>
      </c>
      <c r="C42" s="5">
        <v>67</v>
      </c>
      <c r="D42" s="5">
        <v>16</v>
      </c>
      <c r="E42" s="31">
        <f t="shared" si="4"/>
        <v>51</v>
      </c>
      <c r="F42" s="31" t="s">
        <v>93</v>
      </c>
      <c r="G42" s="31">
        <v>2</v>
      </c>
      <c r="H42" s="31">
        <v>215</v>
      </c>
      <c r="I42" s="31">
        <v>215</v>
      </c>
      <c r="J42" s="31">
        <f t="shared" si="5"/>
        <v>34</v>
      </c>
      <c r="K42" s="5">
        <v>40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 x14ac:dyDescent="0.15">
      <c r="A43" s="4">
        <v>9</v>
      </c>
      <c r="B43" s="5">
        <v>314</v>
      </c>
      <c r="C43" s="5">
        <v>74</v>
      </c>
      <c r="D43" s="5">
        <v>20</v>
      </c>
      <c r="E43" s="31">
        <f t="shared" si="4"/>
        <v>54</v>
      </c>
      <c r="F43" s="31" t="s">
        <v>84</v>
      </c>
      <c r="G43" s="31">
        <v>2</v>
      </c>
      <c r="H43" s="31">
        <v>286</v>
      </c>
      <c r="I43" s="31">
        <v>283</v>
      </c>
      <c r="J43" s="31">
        <f t="shared" si="5"/>
        <v>28</v>
      </c>
      <c r="K43" s="5">
        <v>47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15">
      <c r="A44" s="4">
        <v>10</v>
      </c>
      <c r="B44" s="5">
        <v>227</v>
      </c>
      <c r="C44" s="5">
        <v>62</v>
      </c>
      <c r="D44" s="5">
        <v>18</v>
      </c>
      <c r="E44" s="5">
        <f t="shared" si="4"/>
        <v>44</v>
      </c>
      <c r="F44" s="5" t="s">
        <v>84</v>
      </c>
      <c r="G44" s="5">
        <v>1.5</v>
      </c>
      <c r="H44" s="5">
        <v>198</v>
      </c>
      <c r="I44" s="5">
        <v>196</v>
      </c>
      <c r="J44" s="5">
        <f t="shared" si="5"/>
        <v>29</v>
      </c>
      <c r="K44" s="5">
        <v>42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 x14ac:dyDescent="0.15">
      <c r="A45" s="4">
        <v>11</v>
      </c>
      <c r="B45" s="5">
        <v>370</v>
      </c>
      <c r="C45" s="5">
        <v>73</v>
      </c>
      <c r="D45" s="5">
        <v>18</v>
      </c>
      <c r="E45" s="5">
        <f t="shared" si="4"/>
        <v>55</v>
      </c>
      <c r="F45" s="5" t="s">
        <v>84</v>
      </c>
      <c r="G45" s="5">
        <v>2</v>
      </c>
      <c r="H45" s="5">
        <v>343</v>
      </c>
      <c r="I45" s="5">
        <v>343</v>
      </c>
      <c r="J45" s="5">
        <f t="shared" si="5"/>
        <v>27</v>
      </c>
      <c r="K45" s="35">
        <v>46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15">
      <c r="A46" s="34">
        <v>12</v>
      </c>
      <c r="B46" s="35">
        <v>287</v>
      </c>
      <c r="C46" s="35">
        <v>61</v>
      </c>
      <c r="D46" s="35">
        <v>18</v>
      </c>
      <c r="E46" s="5">
        <f t="shared" si="4"/>
        <v>43</v>
      </c>
      <c r="F46" s="35" t="s">
        <v>95</v>
      </c>
      <c r="G46" s="35">
        <v>2</v>
      </c>
      <c r="H46" s="35">
        <v>252</v>
      </c>
      <c r="I46" s="35">
        <v>246</v>
      </c>
      <c r="J46" s="5">
        <f t="shared" si="5"/>
        <v>35</v>
      </c>
      <c r="K46" s="36">
        <v>42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 x14ac:dyDescent="0.15">
      <c r="A47" s="30"/>
      <c r="B47" s="33">
        <f>AVERAGE(B35:B46)</f>
        <v>292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3" x14ac:dyDescent="0.1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3" x14ac:dyDescent="0.15">
      <c r="A49" s="62" t="s">
        <v>103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3" x14ac:dyDescent="0.15">
      <c r="A50" s="3" t="s">
        <v>66</v>
      </c>
      <c r="B50" s="3" t="s">
        <v>67</v>
      </c>
      <c r="C50" s="3" t="s">
        <v>68</v>
      </c>
      <c r="D50" s="2" t="s">
        <v>69</v>
      </c>
      <c r="E50" s="2" t="s">
        <v>70</v>
      </c>
      <c r="F50" s="2" t="s">
        <v>71</v>
      </c>
      <c r="G50" s="2" t="s">
        <v>72</v>
      </c>
      <c r="H50" s="2" t="s">
        <v>73</v>
      </c>
      <c r="I50" s="3" t="s">
        <v>74</v>
      </c>
      <c r="J50" s="2" t="s">
        <v>75</v>
      </c>
      <c r="K50" s="2" t="s">
        <v>76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3" x14ac:dyDescent="0.15">
      <c r="A51" s="4">
        <v>1</v>
      </c>
      <c r="B51" s="5">
        <v>372</v>
      </c>
      <c r="C51" s="5">
        <v>64</v>
      </c>
      <c r="D51" s="5">
        <v>22</v>
      </c>
      <c r="E51" s="5">
        <f t="shared" ref="E51:E62" si="6">C51-D51</f>
        <v>42</v>
      </c>
      <c r="F51" s="5" t="s">
        <v>104</v>
      </c>
      <c r="G51" s="5">
        <v>2</v>
      </c>
      <c r="H51" s="5">
        <v>334</v>
      </c>
      <c r="I51" s="5">
        <v>326</v>
      </c>
      <c r="J51" s="5">
        <f t="shared" ref="J51:J62" si="7">B51-H51</f>
        <v>38</v>
      </c>
      <c r="K51" s="5">
        <v>37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3" x14ac:dyDescent="0.15">
      <c r="A52" s="4">
        <v>2</v>
      </c>
      <c r="B52" s="5">
        <v>307</v>
      </c>
      <c r="C52" s="5">
        <v>59</v>
      </c>
      <c r="D52" s="31">
        <v>18</v>
      </c>
      <c r="E52" s="5">
        <f t="shared" si="6"/>
        <v>41</v>
      </c>
      <c r="F52" s="5" t="s">
        <v>93</v>
      </c>
      <c r="G52" s="5">
        <v>2</v>
      </c>
      <c r="H52" s="5">
        <v>272</v>
      </c>
      <c r="I52" s="5">
        <v>271</v>
      </c>
      <c r="J52" s="5">
        <f t="shared" si="7"/>
        <v>35</v>
      </c>
      <c r="K52" s="5">
        <v>34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3" x14ac:dyDescent="0.15">
      <c r="A53" s="4">
        <v>3</v>
      </c>
      <c r="B53" s="5">
        <v>292</v>
      </c>
      <c r="C53" s="5">
        <v>48</v>
      </c>
      <c r="D53" s="5">
        <v>15</v>
      </c>
      <c r="E53" s="5">
        <f t="shared" si="6"/>
        <v>33</v>
      </c>
      <c r="F53" s="31" t="s">
        <v>82</v>
      </c>
      <c r="G53" s="31">
        <v>2</v>
      </c>
      <c r="H53" s="31">
        <v>265</v>
      </c>
      <c r="I53" s="5">
        <v>260</v>
      </c>
      <c r="J53" s="5">
        <f t="shared" si="7"/>
        <v>27</v>
      </c>
      <c r="K53" s="5">
        <v>31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3" x14ac:dyDescent="0.15">
      <c r="A54" s="4">
        <v>4</v>
      </c>
      <c r="B54" s="5">
        <v>366</v>
      </c>
      <c r="C54" s="5">
        <v>66</v>
      </c>
      <c r="D54" s="5">
        <v>19</v>
      </c>
      <c r="E54" s="5">
        <f t="shared" si="6"/>
        <v>47</v>
      </c>
      <c r="F54" s="5" t="s">
        <v>93</v>
      </c>
      <c r="G54" s="5">
        <v>2</v>
      </c>
      <c r="H54" s="5">
        <v>336</v>
      </c>
      <c r="I54" s="5">
        <v>336</v>
      </c>
      <c r="J54" s="5">
        <f t="shared" si="7"/>
        <v>30</v>
      </c>
      <c r="K54" s="5">
        <v>36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3" x14ac:dyDescent="0.15">
      <c r="A55" s="4">
        <v>5</v>
      </c>
      <c r="B55" s="5">
        <v>348</v>
      </c>
      <c r="C55" s="5">
        <v>66</v>
      </c>
      <c r="D55" s="5">
        <v>19</v>
      </c>
      <c r="E55" s="5">
        <f t="shared" si="6"/>
        <v>47</v>
      </c>
      <c r="F55" s="5" t="s">
        <v>82</v>
      </c>
      <c r="G55" s="31">
        <v>2</v>
      </c>
      <c r="H55" s="31">
        <v>314</v>
      </c>
      <c r="I55" s="5">
        <v>312</v>
      </c>
      <c r="J55" s="5">
        <f t="shared" si="7"/>
        <v>34</v>
      </c>
      <c r="K55" s="5">
        <v>41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3" x14ac:dyDescent="0.15">
      <c r="A56" s="4">
        <v>6</v>
      </c>
      <c r="B56" s="5">
        <v>384</v>
      </c>
      <c r="C56" s="5">
        <v>69</v>
      </c>
      <c r="D56" s="5">
        <v>20</v>
      </c>
      <c r="E56" s="5">
        <f t="shared" si="6"/>
        <v>49</v>
      </c>
      <c r="F56" s="5" t="s">
        <v>105</v>
      </c>
      <c r="G56" s="5">
        <v>2</v>
      </c>
      <c r="H56" s="5">
        <v>350</v>
      </c>
      <c r="I56" s="5">
        <v>345</v>
      </c>
      <c r="J56" s="5">
        <f t="shared" si="7"/>
        <v>34</v>
      </c>
      <c r="K56" s="5">
        <v>40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3" x14ac:dyDescent="0.15">
      <c r="A57" s="4">
        <v>7</v>
      </c>
      <c r="B57" s="5">
        <v>361</v>
      </c>
      <c r="C57" s="5">
        <v>71</v>
      </c>
      <c r="D57" s="5">
        <v>20.5</v>
      </c>
      <c r="E57" s="5">
        <f t="shared" si="6"/>
        <v>50.5</v>
      </c>
      <c r="F57" s="5" t="s">
        <v>93</v>
      </c>
      <c r="G57" s="5">
        <v>2</v>
      </c>
      <c r="H57" s="5">
        <v>320</v>
      </c>
      <c r="I57" s="5">
        <v>320</v>
      </c>
      <c r="J57" s="5">
        <f t="shared" si="7"/>
        <v>41</v>
      </c>
      <c r="K57" s="5">
        <v>39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3" x14ac:dyDescent="0.15">
      <c r="A58" s="4">
        <v>8</v>
      </c>
      <c r="B58" s="5">
        <v>367</v>
      </c>
      <c r="C58" s="5">
        <v>64</v>
      </c>
      <c r="D58" s="5">
        <v>18</v>
      </c>
      <c r="E58" s="5">
        <f t="shared" si="6"/>
        <v>46</v>
      </c>
      <c r="F58" s="5" t="s">
        <v>106</v>
      </c>
      <c r="G58" s="5">
        <v>2</v>
      </c>
      <c r="H58" s="5">
        <v>318</v>
      </c>
      <c r="I58" s="5">
        <v>319</v>
      </c>
      <c r="J58" s="5">
        <f t="shared" si="7"/>
        <v>49</v>
      </c>
      <c r="K58" s="5">
        <v>43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3" x14ac:dyDescent="0.15">
      <c r="A59" s="4">
        <v>9</v>
      </c>
      <c r="B59" s="5">
        <v>305</v>
      </c>
      <c r="C59" s="5">
        <v>70</v>
      </c>
      <c r="D59" s="5">
        <v>18</v>
      </c>
      <c r="E59" s="5">
        <f t="shared" si="6"/>
        <v>52</v>
      </c>
      <c r="F59" s="5" t="s">
        <v>107</v>
      </c>
      <c r="G59" s="5">
        <v>2</v>
      </c>
      <c r="H59" s="5">
        <v>280</v>
      </c>
      <c r="I59" s="5">
        <v>279</v>
      </c>
      <c r="J59" s="5">
        <f t="shared" si="7"/>
        <v>25</v>
      </c>
      <c r="K59" s="5">
        <v>43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3" x14ac:dyDescent="0.15">
      <c r="A60" s="4">
        <v>10</v>
      </c>
      <c r="B60" s="5">
        <v>352</v>
      </c>
      <c r="C60" s="5">
        <v>70</v>
      </c>
      <c r="D60" s="5">
        <v>22</v>
      </c>
      <c r="E60" s="5">
        <f t="shared" si="6"/>
        <v>48</v>
      </c>
      <c r="F60" s="5" t="s">
        <v>84</v>
      </c>
      <c r="G60" s="5">
        <v>2</v>
      </c>
      <c r="H60" s="5">
        <v>314</v>
      </c>
      <c r="I60" s="5">
        <v>310</v>
      </c>
      <c r="J60" s="5">
        <f t="shared" si="7"/>
        <v>38</v>
      </c>
      <c r="K60" s="5">
        <v>47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3" x14ac:dyDescent="0.15">
      <c r="A61" s="4">
        <v>11</v>
      </c>
      <c r="B61" s="5">
        <v>300</v>
      </c>
      <c r="C61" s="5">
        <v>52</v>
      </c>
      <c r="D61" s="5">
        <v>17</v>
      </c>
      <c r="E61" s="5">
        <f t="shared" si="6"/>
        <v>35</v>
      </c>
      <c r="F61" s="5" t="s">
        <v>106</v>
      </c>
      <c r="G61" s="5">
        <v>2</v>
      </c>
      <c r="H61" s="5">
        <v>266</v>
      </c>
      <c r="I61" s="5">
        <v>266</v>
      </c>
      <c r="J61" s="5">
        <f t="shared" si="7"/>
        <v>34</v>
      </c>
      <c r="K61" s="5">
        <v>43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3" x14ac:dyDescent="0.15">
      <c r="A62" s="34">
        <v>12</v>
      </c>
      <c r="B62" s="35">
        <v>312</v>
      </c>
      <c r="C62" s="35">
        <v>66</v>
      </c>
      <c r="D62" s="35">
        <v>21</v>
      </c>
      <c r="E62" s="5">
        <f t="shared" si="6"/>
        <v>45</v>
      </c>
      <c r="F62" s="35" t="s">
        <v>108</v>
      </c>
      <c r="G62" s="35">
        <v>2</v>
      </c>
      <c r="H62" s="35">
        <v>281</v>
      </c>
      <c r="I62" s="35">
        <v>277</v>
      </c>
      <c r="J62" s="5">
        <f t="shared" si="7"/>
        <v>31</v>
      </c>
      <c r="K62" s="35">
        <v>43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3" x14ac:dyDescent="0.15">
      <c r="A63" s="30"/>
      <c r="B63" s="33">
        <f>AVERAGE(B51:B62)</f>
        <v>338.83333333333331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3" x14ac:dyDescent="0.1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3" x14ac:dyDescent="0.15">
      <c r="A65" s="62" t="s">
        <v>109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3" x14ac:dyDescent="0.15">
      <c r="A66" s="3" t="s">
        <v>66</v>
      </c>
      <c r="B66" s="3" t="s">
        <v>67</v>
      </c>
      <c r="C66" s="3" t="s">
        <v>68</v>
      </c>
      <c r="D66" s="2" t="s">
        <v>69</v>
      </c>
      <c r="E66" s="2" t="s">
        <v>70</v>
      </c>
      <c r="F66" s="2" t="s">
        <v>71</v>
      </c>
      <c r="G66" s="2" t="s">
        <v>72</v>
      </c>
      <c r="H66" s="2" t="s">
        <v>73</v>
      </c>
      <c r="I66" s="3" t="s">
        <v>74</v>
      </c>
      <c r="J66" s="2" t="s">
        <v>75</v>
      </c>
      <c r="K66" s="2" t="s">
        <v>76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3" x14ac:dyDescent="0.15">
      <c r="A67" s="4">
        <v>1</v>
      </c>
      <c r="B67" s="5">
        <v>292</v>
      </c>
      <c r="C67" s="5">
        <v>69</v>
      </c>
      <c r="D67" s="5">
        <v>19</v>
      </c>
      <c r="E67" s="5">
        <f t="shared" ref="E67:E78" si="8">C67-D67</f>
        <v>50</v>
      </c>
      <c r="F67" s="5" t="s">
        <v>97</v>
      </c>
      <c r="G67" s="5">
        <v>2</v>
      </c>
      <c r="H67" s="5">
        <v>265</v>
      </c>
      <c r="I67" s="5">
        <v>262</v>
      </c>
      <c r="J67" s="5">
        <f t="shared" ref="J67:J78" si="9">B67-H67</f>
        <v>27</v>
      </c>
      <c r="K67" s="5">
        <v>43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3" x14ac:dyDescent="0.15">
      <c r="A68" s="4">
        <v>2</v>
      </c>
      <c r="B68" s="5">
        <v>311</v>
      </c>
      <c r="C68" s="5">
        <v>53</v>
      </c>
      <c r="D68" s="31">
        <v>18</v>
      </c>
      <c r="E68" s="5">
        <f t="shared" si="8"/>
        <v>35</v>
      </c>
      <c r="F68" s="5" t="s">
        <v>99</v>
      </c>
      <c r="G68" s="5">
        <v>2</v>
      </c>
      <c r="H68" s="5">
        <v>272</v>
      </c>
      <c r="I68" s="5">
        <v>269</v>
      </c>
      <c r="J68" s="5">
        <f t="shared" si="9"/>
        <v>39</v>
      </c>
      <c r="K68" s="5">
        <v>44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3" x14ac:dyDescent="0.15">
      <c r="A69" s="4">
        <v>3</v>
      </c>
      <c r="B69" s="5">
        <v>363</v>
      </c>
      <c r="C69" s="5">
        <v>75</v>
      </c>
      <c r="D69" s="5">
        <v>18</v>
      </c>
      <c r="E69" s="5">
        <f t="shared" si="8"/>
        <v>57</v>
      </c>
      <c r="F69" s="31" t="s">
        <v>93</v>
      </c>
      <c r="G69" s="31">
        <v>2</v>
      </c>
      <c r="H69" s="31">
        <v>293</v>
      </c>
      <c r="I69" s="5">
        <v>293</v>
      </c>
      <c r="J69" s="5">
        <f t="shared" si="9"/>
        <v>70</v>
      </c>
      <c r="K69" s="5">
        <v>42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3" x14ac:dyDescent="0.15">
      <c r="A70" s="4">
        <v>4</v>
      </c>
      <c r="B70" s="5">
        <v>394</v>
      </c>
      <c r="C70" s="5">
        <v>60</v>
      </c>
      <c r="D70" s="5">
        <v>21.5</v>
      </c>
      <c r="E70" s="5">
        <f t="shared" si="8"/>
        <v>38.5</v>
      </c>
      <c r="F70" s="5" t="s">
        <v>97</v>
      </c>
      <c r="G70" s="5">
        <v>2.5</v>
      </c>
      <c r="H70" s="5">
        <v>351</v>
      </c>
      <c r="I70" s="5">
        <v>351</v>
      </c>
      <c r="J70" s="5">
        <f t="shared" si="9"/>
        <v>43</v>
      </c>
      <c r="K70" s="5">
        <v>50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3" x14ac:dyDescent="0.15">
      <c r="A71" s="4">
        <v>5</v>
      </c>
      <c r="B71" s="5">
        <v>408</v>
      </c>
      <c r="C71" s="5">
        <v>65</v>
      </c>
      <c r="D71" s="5">
        <v>20</v>
      </c>
      <c r="E71" s="5">
        <f t="shared" si="8"/>
        <v>45</v>
      </c>
      <c r="F71" s="5" t="s">
        <v>110</v>
      </c>
      <c r="G71" s="31">
        <v>2</v>
      </c>
      <c r="H71" s="31">
        <v>368</v>
      </c>
      <c r="I71" s="5">
        <v>356</v>
      </c>
      <c r="J71" s="5">
        <f t="shared" si="9"/>
        <v>40</v>
      </c>
      <c r="K71" s="5">
        <v>49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3" x14ac:dyDescent="0.15">
      <c r="A72" s="4">
        <v>6</v>
      </c>
      <c r="B72" s="5">
        <v>346</v>
      </c>
      <c r="C72" s="5">
        <v>70</v>
      </c>
      <c r="D72" s="5">
        <v>22</v>
      </c>
      <c r="E72" s="5">
        <f t="shared" si="8"/>
        <v>48</v>
      </c>
      <c r="F72" s="5" t="s">
        <v>111</v>
      </c>
      <c r="G72" s="5">
        <v>2</v>
      </c>
      <c r="H72" s="5">
        <v>310</v>
      </c>
      <c r="I72" s="5">
        <v>309</v>
      </c>
      <c r="J72" s="5">
        <f t="shared" si="9"/>
        <v>36</v>
      </c>
      <c r="K72" s="5">
        <v>45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3" x14ac:dyDescent="0.15">
      <c r="A73" s="4">
        <v>7</v>
      </c>
      <c r="B73" s="5">
        <v>400</v>
      </c>
      <c r="C73" s="5">
        <v>68</v>
      </c>
      <c r="D73" s="5">
        <v>18</v>
      </c>
      <c r="E73" s="5">
        <f t="shared" si="8"/>
        <v>50</v>
      </c>
      <c r="F73" s="5" t="s">
        <v>84</v>
      </c>
      <c r="G73" s="5">
        <v>2</v>
      </c>
      <c r="H73" s="5">
        <v>352</v>
      </c>
      <c r="I73" s="5">
        <v>352</v>
      </c>
      <c r="J73" s="5">
        <f t="shared" si="9"/>
        <v>48</v>
      </c>
      <c r="K73" s="5">
        <v>52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3" x14ac:dyDescent="0.15">
      <c r="A74" s="4">
        <v>8</v>
      </c>
      <c r="B74" s="5">
        <v>375</v>
      </c>
      <c r="C74" s="5">
        <v>59</v>
      </c>
      <c r="D74" s="5">
        <v>20</v>
      </c>
      <c r="E74" s="5">
        <f t="shared" si="8"/>
        <v>39</v>
      </c>
      <c r="F74" s="5" t="s">
        <v>81</v>
      </c>
      <c r="G74" s="5">
        <v>2</v>
      </c>
      <c r="H74" s="5">
        <v>330</v>
      </c>
      <c r="I74" s="5">
        <v>330</v>
      </c>
      <c r="J74" s="5">
        <f t="shared" si="9"/>
        <v>45</v>
      </c>
      <c r="K74" s="5">
        <v>47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3" x14ac:dyDescent="0.15">
      <c r="A75" s="4">
        <v>9</v>
      </c>
      <c r="B75" s="5">
        <v>412</v>
      </c>
      <c r="C75" s="5">
        <v>62</v>
      </c>
      <c r="D75" s="5">
        <v>22</v>
      </c>
      <c r="E75" s="5">
        <f t="shared" si="8"/>
        <v>40</v>
      </c>
      <c r="F75" s="5" t="s">
        <v>112</v>
      </c>
      <c r="G75" s="5">
        <v>2</v>
      </c>
      <c r="H75" s="5">
        <v>367</v>
      </c>
      <c r="I75" s="5">
        <v>364</v>
      </c>
      <c r="J75" s="5">
        <f t="shared" si="9"/>
        <v>45</v>
      </c>
      <c r="K75" s="5">
        <v>38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3" x14ac:dyDescent="0.15">
      <c r="A76" s="4">
        <v>10</v>
      </c>
      <c r="B76" s="5">
        <v>345</v>
      </c>
      <c r="C76" s="5">
        <v>64</v>
      </c>
      <c r="D76" s="5">
        <v>18</v>
      </c>
      <c r="E76" s="5">
        <f t="shared" si="8"/>
        <v>46</v>
      </c>
      <c r="F76" s="5" t="s">
        <v>84</v>
      </c>
      <c r="G76" s="5">
        <v>2</v>
      </c>
      <c r="H76" s="5">
        <v>302</v>
      </c>
      <c r="I76" s="5">
        <v>300</v>
      </c>
      <c r="J76" s="5">
        <f t="shared" si="9"/>
        <v>43</v>
      </c>
      <c r="K76" s="5">
        <v>44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3" x14ac:dyDescent="0.15">
      <c r="A77" s="4">
        <v>11</v>
      </c>
      <c r="B77" s="5">
        <v>376</v>
      </c>
      <c r="C77" s="5">
        <v>67</v>
      </c>
      <c r="D77" s="5">
        <v>19.5</v>
      </c>
      <c r="E77" s="5">
        <f t="shared" si="8"/>
        <v>47.5</v>
      </c>
      <c r="F77" s="5" t="s">
        <v>84</v>
      </c>
      <c r="G77" s="5">
        <v>2</v>
      </c>
      <c r="H77" s="5">
        <v>334</v>
      </c>
      <c r="I77" s="5">
        <v>325</v>
      </c>
      <c r="J77" s="5">
        <f t="shared" si="9"/>
        <v>42</v>
      </c>
      <c r="K77" s="5">
        <v>46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3" x14ac:dyDescent="0.15">
      <c r="A78" s="34">
        <v>12</v>
      </c>
      <c r="B78" s="35">
        <v>374</v>
      </c>
      <c r="C78" s="35">
        <v>62</v>
      </c>
      <c r="D78" s="35">
        <v>20</v>
      </c>
      <c r="E78" s="5">
        <f t="shared" si="8"/>
        <v>42</v>
      </c>
      <c r="F78" s="35" t="s">
        <v>81</v>
      </c>
      <c r="G78" s="35">
        <v>2</v>
      </c>
      <c r="H78" s="35">
        <v>335</v>
      </c>
      <c r="I78" s="35">
        <v>334</v>
      </c>
      <c r="J78" s="5">
        <f t="shared" si="9"/>
        <v>39</v>
      </c>
      <c r="K78" s="35">
        <v>42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3" x14ac:dyDescent="0.15">
      <c r="A79" s="30"/>
      <c r="B79" s="33">
        <f>AVERAGE(B67:B78)</f>
        <v>366.33333333333331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3" x14ac:dyDescent="0.1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3" x14ac:dyDescent="0.15">
      <c r="A81" s="62" t="s">
        <v>113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3" x14ac:dyDescent="0.15">
      <c r="A82" s="3" t="s">
        <v>66</v>
      </c>
      <c r="B82" s="3" t="s">
        <v>67</v>
      </c>
      <c r="C82" s="3" t="s">
        <v>68</v>
      </c>
      <c r="D82" s="2" t="s">
        <v>69</v>
      </c>
      <c r="E82" s="2" t="s">
        <v>70</v>
      </c>
      <c r="F82" s="2" t="s">
        <v>71</v>
      </c>
      <c r="G82" s="2" t="s">
        <v>72</v>
      </c>
      <c r="H82" s="2" t="s">
        <v>73</v>
      </c>
      <c r="I82" s="3" t="s">
        <v>74</v>
      </c>
      <c r="J82" s="2" t="s">
        <v>75</v>
      </c>
      <c r="K82" s="2" t="s">
        <v>76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3" x14ac:dyDescent="0.15">
      <c r="A83" s="4">
        <v>1</v>
      </c>
      <c r="B83" s="5">
        <v>377</v>
      </c>
      <c r="C83" s="5">
        <v>64</v>
      </c>
      <c r="D83" s="5">
        <v>20</v>
      </c>
      <c r="E83" s="5">
        <f t="shared" ref="E83:E94" si="10">C83-D83</f>
        <v>44</v>
      </c>
      <c r="F83" s="5" t="s">
        <v>93</v>
      </c>
      <c r="G83" s="5">
        <v>2</v>
      </c>
      <c r="H83" s="5">
        <v>332</v>
      </c>
      <c r="I83" s="5">
        <v>332</v>
      </c>
      <c r="J83" s="5">
        <f t="shared" ref="J83:J94" si="11">B83-H83</f>
        <v>45</v>
      </c>
      <c r="K83" s="5">
        <v>39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3" x14ac:dyDescent="0.15">
      <c r="A84" s="4">
        <v>2</v>
      </c>
      <c r="B84" s="5">
        <v>391</v>
      </c>
      <c r="C84" s="5">
        <v>65</v>
      </c>
      <c r="D84" s="31">
        <v>20</v>
      </c>
      <c r="E84" s="5">
        <f t="shared" si="10"/>
        <v>45</v>
      </c>
      <c r="F84" s="5" t="s">
        <v>99</v>
      </c>
      <c r="G84" s="5">
        <v>2</v>
      </c>
      <c r="H84" s="5">
        <v>347</v>
      </c>
      <c r="I84" s="5">
        <v>347</v>
      </c>
      <c r="J84" s="5">
        <f t="shared" si="11"/>
        <v>44</v>
      </c>
      <c r="K84" s="5">
        <v>41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3" x14ac:dyDescent="0.15">
      <c r="A85" s="4">
        <v>3</v>
      </c>
      <c r="B85" s="5">
        <v>368</v>
      </c>
      <c r="C85" s="5">
        <v>80</v>
      </c>
      <c r="D85" s="31">
        <v>19</v>
      </c>
      <c r="E85" s="31">
        <f t="shared" si="10"/>
        <v>61</v>
      </c>
      <c r="F85" s="31" t="s">
        <v>114</v>
      </c>
      <c r="G85" s="31">
        <v>2</v>
      </c>
      <c r="H85" s="31">
        <v>330</v>
      </c>
      <c r="I85" s="5">
        <v>330</v>
      </c>
      <c r="J85" s="5">
        <f t="shared" si="11"/>
        <v>38</v>
      </c>
      <c r="K85" s="5">
        <v>50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3" x14ac:dyDescent="0.15">
      <c r="A86" s="4">
        <v>4</v>
      </c>
      <c r="B86" s="5">
        <v>308</v>
      </c>
      <c r="C86" s="5">
        <v>53</v>
      </c>
      <c r="D86" s="31">
        <v>17</v>
      </c>
      <c r="E86" s="31">
        <f t="shared" si="10"/>
        <v>36</v>
      </c>
      <c r="F86" s="31" t="s">
        <v>115</v>
      </c>
      <c r="G86" s="31">
        <v>2</v>
      </c>
      <c r="H86" s="5">
        <v>273</v>
      </c>
      <c r="I86" s="5">
        <v>267</v>
      </c>
      <c r="J86" s="5">
        <f t="shared" si="11"/>
        <v>35</v>
      </c>
      <c r="K86" s="5">
        <v>43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3" x14ac:dyDescent="0.15">
      <c r="A87" s="4">
        <v>5</v>
      </c>
      <c r="B87" s="5">
        <v>294</v>
      </c>
      <c r="C87" s="5">
        <v>59</v>
      </c>
      <c r="D87" s="31">
        <v>19</v>
      </c>
      <c r="E87" s="31">
        <f t="shared" si="10"/>
        <v>40</v>
      </c>
      <c r="F87" s="31" t="s">
        <v>116</v>
      </c>
      <c r="G87" s="31">
        <v>2</v>
      </c>
      <c r="H87" s="31">
        <v>260</v>
      </c>
      <c r="I87" s="5">
        <v>260</v>
      </c>
      <c r="J87" s="5">
        <f t="shared" si="11"/>
        <v>34</v>
      </c>
      <c r="K87" s="5">
        <v>38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3" x14ac:dyDescent="0.15">
      <c r="A88" s="4">
        <v>6</v>
      </c>
      <c r="B88" s="5">
        <v>334</v>
      </c>
      <c r="C88" s="5">
        <v>62</v>
      </c>
      <c r="D88" s="31">
        <v>17</v>
      </c>
      <c r="E88" s="31">
        <f t="shared" si="10"/>
        <v>45</v>
      </c>
      <c r="F88" s="31" t="s">
        <v>108</v>
      </c>
      <c r="G88" s="31">
        <v>2</v>
      </c>
      <c r="H88" s="5">
        <v>296</v>
      </c>
      <c r="I88" s="5">
        <v>296</v>
      </c>
      <c r="J88" s="5">
        <f t="shared" si="11"/>
        <v>38</v>
      </c>
      <c r="K88" s="5">
        <v>45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3" x14ac:dyDescent="0.15">
      <c r="A89" s="4">
        <v>7</v>
      </c>
      <c r="B89" s="5">
        <v>353</v>
      </c>
      <c r="C89" s="5">
        <v>75</v>
      </c>
      <c r="D89" s="5">
        <v>20.5</v>
      </c>
      <c r="E89" s="5">
        <f t="shared" si="10"/>
        <v>54.5</v>
      </c>
      <c r="F89" s="5" t="s">
        <v>97</v>
      </c>
      <c r="G89" s="5">
        <v>2</v>
      </c>
      <c r="H89" s="5">
        <v>330</v>
      </c>
      <c r="I89" s="5">
        <v>326</v>
      </c>
      <c r="J89" s="5">
        <f t="shared" si="11"/>
        <v>23</v>
      </c>
      <c r="K89" s="5">
        <v>43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3" x14ac:dyDescent="0.15">
      <c r="A90" s="4">
        <v>8</v>
      </c>
      <c r="B90" s="5">
        <v>368</v>
      </c>
      <c r="C90" s="5">
        <v>51</v>
      </c>
      <c r="D90" s="5">
        <v>18</v>
      </c>
      <c r="E90" s="5">
        <f t="shared" si="10"/>
        <v>33</v>
      </c>
      <c r="F90" s="5" t="s">
        <v>90</v>
      </c>
      <c r="G90" s="5">
        <v>2</v>
      </c>
      <c r="H90" s="5">
        <v>314</v>
      </c>
      <c r="I90" s="5">
        <v>308</v>
      </c>
      <c r="J90" s="5">
        <f t="shared" si="11"/>
        <v>54</v>
      </c>
      <c r="K90" s="5">
        <v>42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3" x14ac:dyDescent="0.15">
      <c r="A91" s="4">
        <v>9</v>
      </c>
      <c r="B91" s="5">
        <v>313</v>
      </c>
      <c r="C91" s="5">
        <v>62</v>
      </c>
      <c r="D91" s="5">
        <v>18</v>
      </c>
      <c r="E91" s="5">
        <f t="shared" si="10"/>
        <v>44</v>
      </c>
      <c r="F91" s="5" t="s">
        <v>84</v>
      </c>
      <c r="G91" s="5">
        <v>2</v>
      </c>
      <c r="H91" s="5">
        <v>271</v>
      </c>
      <c r="I91" s="5">
        <v>270</v>
      </c>
      <c r="J91" s="5">
        <f t="shared" si="11"/>
        <v>42</v>
      </c>
      <c r="K91" s="5">
        <v>42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3" x14ac:dyDescent="0.15">
      <c r="A92" s="4">
        <v>10</v>
      </c>
      <c r="B92" s="5">
        <v>348</v>
      </c>
      <c r="C92" s="5">
        <v>64</v>
      </c>
      <c r="D92" s="5">
        <v>19</v>
      </c>
      <c r="E92" s="5">
        <f t="shared" si="10"/>
        <v>45</v>
      </c>
      <c r="F92" s="5" t="s">
        <v>90</v>
      </c>
      <c r="G92" s="5">
        <v>2</v>
      </c>
      <c r="H92" s="5">
        <v>312</v>
      </c>
      <c r="I92" s="5">
        <v>312</v>
      </c>
      <c r="J92" s="5">
        <f t="shared" si="11"/>
        <v>36</v>
      </c>
      <c r="K92" s="5">
        <v>38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3" x14ac:dyDescent="0.15">
      <c r="A93" s="4">
        <v>11</v>
      </c>
      <c r="B93" s="5">
        <v>321</v>
      </c>
      <c r="C93" s="5">
        <v>52</v>
      </c>
      <c r="D93" s="5">
        <v>17</v>
      </c>
      <c r="E93" s="5">
        <f t="shared" si="10"/>
        <v>35</v>
      </c>
      <c r="F93" s="5" t="s">
        <v>117</v>
      </c>
      <c r="G93" s="5">
        <v>2</v>
      </c>
      <c r="H93" s="5">
        <v>281</v>
      </c>
      <c r="I93" s="5">
        <v>281</v>
      </c>
      <c r="J93" s="5">
        <f t="shared" si="11"/>
        <v>40</v>
      </c>
      <c r="K93" s="5">
        <v>43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3" x14ac:dyDescent="0.15">
      <c r="A94" s="34">
        <v>12</v>
      </c>
      <c r="B94" s="5">
        <v>300</v>
      </c>
      <c r="C94" s="5">
        <v>70</v>
      </c>
      <c r="D94" s="5">
        <v>16</v>
      </c>
      <c r="E94" s="5">
        <f t="shared" si="10"/>
        <v>54</v>
      </c>
      <c r="F94" s="5" t="s">
        <v>118</v>
      </c>
      <c r="G94" s="5">
        <v>2</v>
      </c>
      <c r="H94" s="5">
        <v>264</v>
      </c>
      <c r="I94" s="5">
        <v>264</v>
      </c>
      <c r="J94" s="5">
        <f t="shared" si="11"/>
        <v>36</v>
      </c>
      <c r="K94" s="5">
        <v>43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3" x14ac:dyDescent="0.15">
      <c r="A95" s="30"/>
      <c r="B95" s="33">
        <f>AVERAGE(B83:B94)</f>
        <v>339.58333333333331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3" x14ac:dyDescent="0.1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3" x14ac:dyDescent="0.1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3" x14ac:dyDescent="0.1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3" x14ac:dyDescent="0.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3" x14ac:dyDescent="0.1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3" x14ac:dyDescent="0.1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3" x14ac:dyDescent="0.1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3" x14ac:dyDescent="0.1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3" x14ac:dyDescent="0.1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3" x14ac:dyDescent="0.1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3" x14ac:dyDescent="0.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3" x14ac:dyDescent="0.1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3" x14ac:dyDescent="0.1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3" x14ac:dyDescent="0.1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3" x14ac:dyDescent="0.1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3" x14ac:dyDescent="0.1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3" x14ac:dyDescent="0.1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3" x14ac:dyDescent="0.1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3" x14ac:dyDescent="0.1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3" x14ac:dyDescent="0.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3" x14ac:dyDescent="0.1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3" x14ac:dyDescent="0.1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3" x14ac:dyDescent="0.1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3" x14ac:dyDescent="0.1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3" x14ac:dyDescent="0.1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3" x14ac:dyDescent="0.1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3" x14ac:dyDescent="0.1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3" x14ac:dyDescent="0.1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3" x14ac:dyDescent="0.1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3" x14ac:dyDescent="0.1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3" x14ac:dyDescent="0.1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3" x14ac:dyDescent="0.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3" x14ac:dyDescent="0.1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3" x14ac:dyDescent="0.1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3" x14ac:dyDescent="0.1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3" x14ac:dyDescent="0.1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3" x14ac:dyDescent="0.1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3" x14ac:dyDescent="0.1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3" x14ac:dyDescent="0.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3" x14ac:dyDescent="0.1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3" x14ac:dyDescent="0.1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3" x14ac:dyDescent="0.1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3" x14ac:dyDescent="0.1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3" x14ac:dyDescent="0.1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3" x14ac:dyDescent="0.1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3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3" x14ac:dyDescent="0.1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3" x14ac:dyDescent="0.1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3" x14ac:dyDescent="0.1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3" x14ac:dyDescent="0.1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3" x14ac:dyDescent="0.1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3" x14ac:dyDescent="0.1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3" x14ac:dyDescent="0.1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3" x14ac:dyDescent="0.1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3" x14ac:dyDescent="0.1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3" x14ac:dyDescent="0.1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3" x14ac:dyDescent="0.1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3" x14ac:dyDescent="0.1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3" x14ac:dyDescent="0.1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3" x14ac:dyDescent="0.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3" x14ac:dyDescent="0.1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3" x14ac:dyDescent="0.1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3" x14ac:dyDescent="0.1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3" x14ac:dyDescent="0.1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3" x14ac:dyDescent="0.1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3" x14ac:dyDescent="0.1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3" x14ac:dyDescent="0.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3" x14ac:dyDescent="0.1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3" x14ac:dyDescent="0.1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3" x14ac:dyDescent="0.1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3" x14ac:dyDescent="0.1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3" x14ac:dyDescent="0.1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3" x14ac:dyDescent="0.1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3" x14ac:dyDescent="0.1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3" x14ac:dyDescent="0.1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3" x14ac:dyDescent="0.1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3" x14ac:dyDescent="0.1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3" x14ac:dyDescent="0.1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3" x14ac:dyDescent="0.1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3" x14ac:dyDescent="0.1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3" x14ac:dyDescent="0.1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3" x14ac:dyDescent="0.1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3" x14ac:dyDescent="0.1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3" x14ac:dyDescent="0.1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3" x14ac:dyDescent="0.1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3" x14ac:dyDescent="0.1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3" x14ac:dyDescent="0.1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3" x14ac:dyDescent="0.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3" x14ac:dyDescent="0.1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3" x14ac:dyDescent="0.1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3" x14ac:dyDescent="0.1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3" x14ac:dyDescent="0.1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3" x14ac:dyDescent="0.1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3" x14ac:dyDescent="0.1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3" x14ac:dyDescent="0.1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3" x14ac:dyDescent="0.1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3" x14ac:dyDescent="0.1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3" x14ac:dyDescent="0.1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3" x14ac:dyDescent="0.1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3" x14ac:dyDescent="0.1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3" x14ac:dyDescent="0.1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3" x14ac:dyDescent="0.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3" x14ac:dyDescent="0.1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3" x14ac:dyDescent="0.1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3" x14ac:dyDescent="0.1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3" x14ac:dyDescent="0.1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3" x14ac:dyDescent="0.1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3" x14ac:dyDescent="0.1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3" x14ac:dyDescent="0.1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3" x14ac:dyDescent="0.1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3" x14ac:dyDescent="0.1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3" x14ac:dyDescent="0.1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3" x14ac:dyDescent="0.1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3" x14ac:dyDescent="0.1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3" x14ac:dyDescent="0.1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3" x14ac:dyDescent="0.1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3" x14ac:dyDescent="0.1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3" x14ac:dyDescent="0.1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3" x14ac:dyDescent="0.1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3" x14ac:dyDescent="0.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3" x14ac:dyDescent="0.1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3" x14ac:dyDescent="0.1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3" x14ac:dyDescent="0.1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3" x14ac:dyDescent="0.1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3" x14ac:dyDescent="0.1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3" x14ac:dyDescent="0.1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3" x14ac:dyDescent="0.1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3" x14ac:dyDescent="0.1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3" x14ac:dyDescent="0.1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3" x14ac:dyDescent="0.1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3" x14ac:dyDescent="0.1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3" x14ac:dyDescent="0.1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3" x14ac:dyDescent="0.1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3" x14ac:dyDescent="0.1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3" x14ac:dyDescent="0.1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3" x14ac:dyDescent="0.1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3" x14ac:dyDescent="0.1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3" x14ac:dyDescent="0.1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3" x14ac:dyDescent="0.1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3" x14ac:dyDescent="0.1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3" x14ac:dyDescent="0.1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3" x14ac:dyDescent="0.1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3" x14ac:dyDescent="0.1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3" x14ac:dyDescent="0.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3" x14ac:dyDescent="0.1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3" x14ac:dyDescent="0.1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3" x14ac:dyDescent="0.1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3" x14ac:dyDescent="0.1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3" x14ac:dyDescent="0.1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3" x14ac:dyDescent="0.1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3" x14ac:dyDescent="0.1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3" x14ac:dyDescent="0.1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3" x14ac:dyDescent="0.1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3" x14ac:dyDescent="0.1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3" x14ac:dyDescent="0.1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3" x14ac:dyDescent="0.1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3" x14ac:dyDescent="0.1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3" x14ac:dyDescent="0.1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3" x14ac:dyDescent="0.1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3" x14ac:dyDescent="0.1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3" x14ac:dyDescent="0.1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3" x14ac:dyDescent="0.1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3" x14ac:dyDescent="0.1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3" x14ac:dyDescent="0.1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3" x14ac:dyDescent="0.1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3" x14ac:dyDescent="0.1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3" x14ac:dyDescent="0.1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3" x14ac:dyDescent="0.1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3" x14ac:dyDescent="0.1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3" x14ac:dyDescent="0.1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3" x14ac:dyDescent="0.1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3" x14ac:dyDescent="0.1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3" x14ac:dyDescent="0.1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3" x14ac:dyDescent="0.1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3" x14ac:dyDescent="0.1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3" x14ac:dyDescent="0.1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3" x14ac:dyDescent="0.1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3" x14ac:dyDescent="0.1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3" x14ac:dyDescent="0.1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3" x14ac:dyDescent="0.1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3" x14ac:dyDescent="0.1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3" x14ac:dyDescent="0.1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3" x14ac:dyDescent="0.1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3" x14ac:dyDescent="0.1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3" x14ac:dyDescent="0.1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3" x14ac:dyDescent="0.1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3" x14ac:dyDescent="0.1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3" x14ac:dyDescent="0.1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3" x14ac:dyDescent="0.1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3" x14ac:dyDescent="0.1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3" x14ac:dyDescent="0.1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3" x14ac:dyDescent="0.1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3" x14ac:dyDescent="0.1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3" x14ac:dyDescent="0.1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3" x14ac:dyDescent="0.1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3" x14ac:dyDescent="0.1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3" x14ac:dyDescent="0.1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3" x14ac:dyDescent="0.1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3" x14ac:dyDescent="0.1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3" x14ac:dyDescent="0.1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3" x14ac:dyDescent="0.1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3" x14ac:dyDescent="0.1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3" x14ac:dyDescent="0.1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3" x14ac:dyDescent="0.1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3" x14ac:dyDescent="0.1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3" x14ac:dyDescent="0.1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3" x14ac:dyDescent="0.1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3" x14ac:dyDescent="0.1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3" x14ac:dyDescent="0.1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3" x14ac:dyDescent="0.1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3" x14ac:dyDescent="0.1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3" x14ac:dyDescent="0.1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3" x14ac:dyDescent="0.1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3" x14ac:dyDescent="0.1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3" x14ac:dyDescent="0.1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3" x14ac:dyDescent="0.1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3" x14ac:dyDescent="0.1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3" x14ac:dyDescent="0.1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3" x14ac:dyDescent="0.1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3" x14ac:dyDescent="0.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3" x14ac:dyDescent="0.1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3" x14ac:dyDescent="0.1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3" x14ac:dyDescent="0.1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3" x14ac:dyDescent="0.1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3" x14ac:dyDescent="0.1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3" x14ac:dyDescent="0.1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3" x14ac:dyDescent="0.1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3" x14ac:dyDescent="0.1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3" x14ac:dyDescent="0.1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3" x14ac:dyDescent="0.1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3" x14ac:dyDescent="0.1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3" x14ac:dyDescent="0.1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3" x14ac:dyDescent="0.1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3" x14ac:dyDescent="0.1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3" x14ac:dyDescent="0.1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3" x14ac:dyDescent="0.1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3" x14ac:dyDescent="0.1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3" x14ac:dyDescent="0.1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3" x14ac:dyDescent="0.1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3" x14ac:dyDescent="0.1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3" x14ac:dyDescent="0.1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3" x14ac:dyDescent="0.1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3" x14ac:dyDescent="0.1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3" x14ac:dyDescent="0.1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3" x14ac:dyDescent="0.1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3" x14ac:dyDescent="0.1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3" x14ac:dyDescent="0.1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3" x14ac:dyDescent="0.1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3" x14ac:dyDescent="0.1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3" x14ac:dyDescent="0.1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3" x14ac:dyDescent="0.1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3" x14ac:dyDescent="0.1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3" x14ac:dyDescent="0.1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3" x14ac:dyDescent="0.1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3" x14ac:dyDescent="0.1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3" x14ac:dyDescent="0.1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3" x14ac:dyDescent="0.1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3" x14ac:dyDescent="0.1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3" x14ac:dyDescent="0.1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3" x14ac:dyDescent="0.1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3" x14ac:dyDescent="0.1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3" x14ac:dyDescent="0.1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3" x14ac:dyDescent="0.1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3" x14ac:dyDescent="0.1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3" x14ac:dyDescent="0.1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3" x14ac:dyDescent="0.1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3" x14ac:dyDescent="0.1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3" x14ac:dyDescent="0.1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3" x14ac:dyDescent="0.1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3" x14ac:dyDescent="0.1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3" x14ac:dyDescent="0.1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3" x14ac:dyDescent="0.1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3" x14ac:dyDescent="0.1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3" x14ac:dyDescent="0.1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3" x14ac:dyDescent="0.1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3" x14ac:dyDescent="0.1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3" x14ac:dyDescent="0.1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3" x14ac:dyDescent="0.1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3" x14ac:dyDescent="0.1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3" x14ac:dyDescent="0.1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3" x14ac:dyDescent="0.1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3" x14ac:dyDescent="0.1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3" x14ac:dyDescent="0.1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3" x14ac:dyDescent="0.1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3" x14ac:dyDescent="0.1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3" x14ac:dyDescent="0.1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3" x14ac:dyDescent="0.1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3" x14ac:dyDescent="0.1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3" x14ac:dyDescent="0.1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3" x14ac:dyDescent="0.1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3" x14ac:dyDescent="0.1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3" x14ac:dyDescent="0.1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3" x14ac:dyDescent="0.1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3" x14ac:dyDescent="0.1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3" x14ac:dyDescent="0.1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3" x14ac:dyDescent="0.1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3" x14ac:dyDescent="0.1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3" x14ac:dyDescent="0.1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3" x14ac:dyDescent="0.1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3" x14ac:dyDescent="0.1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3" x14ac:dyDescent="0.1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3" x14ac:dyDescent="0.1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3" x14ac:dyDescent="0.1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3" x14ac:dyDescent="0.1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3" x14ac:dyDescent="0.1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3" x14ac:dyDescent="0.1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3" x14ac:dyDescent="0.1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3" x14ac:dyDescent="0.1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3" x14ac:dyDescent="0.1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3" x14ac:dyDescent="0.1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3" x14ac:dyDescent="0.1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3" x14ac:dyDescent="0.1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3" x14ac:dyDescent="0.1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3" x14ac:dyDescent="0.1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3" x14ac:dyDescent="0.1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3" x14ac:dyDescent="0.1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3" x14ac:dyDescent="0.1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3" x14ac:dyDescent="0.1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3" x14ac:dyDescent="0.1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3" x14ac:dyDescent="0.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3" x14ac:dyDescent="0.1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3" x14ac:dyDescent="0.1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3" x14ac:dyDescent="0.1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3" x14ac:dyDescent="0.1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3" x14ac:dyDescent="0.1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3" x14ac:dyDescent="0.1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3" x14ac:dyDescent="0.1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3" x14ac:dyDescent="0.1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3" x14ac:dyDescent="0.1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3" x14ac:dyDescent="0.1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3" x14ac:dyDescent="0.1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3" x14ac:dyDescent="0.1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3" x14ac:dyDescent="0.1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3" x14ac:dyDescent="0.1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3" x14ac:dyDescent="0.1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3" x14ac:dyDescent="0.1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3" x14ac:dyDescent="0.1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3" x14ac:dyDescent="0.1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3" x14ac:dyDescent="0.1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3" x14ac:dyDescent="0.1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3" x14ac:dyDescent="0.1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3" x14ac:dyDescent="0.1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3" x14ac:dyDescent="0.1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3" x14ac:dyDescent="0.1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3" x14ac:dyDescent="0.1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3" x14ac:dyDescent="0.1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3" x14ac:dyDescent="0.1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3" x14ac:dyDescent="0.1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3" x14ac:dyDescent="0.1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3" x14ac:dyDescent="0.1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3" x14ac:dyDescent="0.1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3" x14ac:dyDescent="0.1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3" x14ac:dyDescent="0.1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3" x14ac:dyDescent="0.1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3" x14ac:dyDescent="0.1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3" x14ac:dyDescent="0.1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3" x14ac:dyDescent="0.1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3" x14ac:dyDescent="0.1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3" x14ac:dyDescent="0.1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3" x14ac:dyDescent="0.1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3" x14ac:dyDescent="0.1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3" x14ac:dyDescent="0.1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3" x14ac:dyDescent="0.1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3" x14ac:dyDescent="0.1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3" x14ac:dyDescent="0.1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3" x14ac:dyDescent="0.1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3" x14ac:dyDescent="0.1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3" x14ac:dyDescent="0.1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3" x14ac:dyDescent="0.1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3" x14ac:dyDescent="0.1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3" x14ac:dyDescent="0.1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3" x14ac:dyDescent="0.1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3" x14ac:dyDescent="0.1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3" x14ac:dyDescent="0.1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3" x14ac:dyDescent="0.1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3" x14ac:dyDescent="0.1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3" x14ac:dyDescent="0.1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3" x14ac:dyDescent="0.1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3" x14ac:dyDescent="0.1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3" x14ac:dyDescent="0.1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3" x14ac:dyDescent="0.1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3" x14ac:dyDescent="0.1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3" x14ac:dyDescent="0.1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3" x14ac:dyDescent="0.1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3" x14ac:dyDescent="0.1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3" x14ac:dyDescent="0.1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3" x14ac:dyDescent="0.1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3" x14ac:dyDescent="0.1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3" x14ac:dyDescent="0.1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3" x14ac:dyDescent="0.1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3" x14ac:dyDescent="0.1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3" x14ac:dyDescent="0.1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3" x14ac:dyDescent="0.1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3" x14ac:dyDescent="0.1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3" x14ac:dyDescent="0.1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3" x14ac:dyDescent="0.1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3" x14ac:dyDescent="0.1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3" x14ac:dyDescent="0.1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3" x14ac:dyDescent="0.1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3" x14ac:dyDescent="0.1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3" x14ac:dyDescent="0.1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3" x14ac:dyDescent="0.1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3" x14ac:dyDescent="0.1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3" x14ac:dyDescent="0.1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3" x14ac:dyDescent="0.1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3" x14ac:dyDescent="0.1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3" x14ac:dyDescent="0.1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3" x14ac:dyDescent="0.1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3" x14ac:dyDescent="0.1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3" x14ac:dyDescent="0.1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3" x14ac:dyDescent="0.1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3" x14ac:dyDescent="0.1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3" x14ac:dyDescent="0.1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3" x14ac:dyDescent="0.1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3" x14ac:dyDescent="0.1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3" x14ac:dyDescent="0.1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3" x14ac:dyDescent="0.1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3" x14ac:dyDescent="0.1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3" x14ac:dyDescent="0.1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3" x14ac:dyDescent="0.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3" x14ac:dyDescent="0.1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3" x14ac:dyDescent="0.1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3" x14ac:dyDescent="0.1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3" x14ac:dyDescent="0.1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3" x14ac:dyDescent="0.1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3" x14ac:dyDescent="0.1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3" x14ac:dyDescent="0.1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3" x14ac:dyDescent="0.1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3" x14ac:dyDescent="0.1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3" x14ac:dyDescent="0.1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3" x14ac:dyDescent="0.1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3" x14ac:dyDescent="0.1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3" x14ac:dyDescent="0.1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3" x14ac:dyDescent="0.1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3" x14ac:dyDescent="0.1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3" x14ac:dyDescent="0.1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3" x14ac:dyDescent="0.1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3" x14ac:dyDescent="0.1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3" x14ac:dyDescent="0.1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3" x14ac:dyDescent="0.1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3" x14ac:dyDescent="0.1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3" x14ac:dyDescent="0.1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3" x14ac:dyDescent="0.1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3" x14ac:dyDescent="0.1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3" x14ac:dyDescent="0.1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3" x14ac:dyDescent="0.1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3" x14ac:dyDescent="0.1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3" x14ac:dyDescent="0.1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3" x14ac:dyDescent="0.1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3" x14ac:dyDescent="0.1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3" x14ac:dyDescent="0.1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3" x14ac:dyDescent="0.1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3" x14ac:dyDescent="0.1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3" x14ac:dyDescent="0.1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3" x14ac:dyDescent="0.1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3" x14ac:dyDescent="0.1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3" x14ac:dyDescent="0.1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3" x14ac:dyDescent="0.1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3" x14ac:dyDescent="0.1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3" x14ac:dyDescent="0.1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3" x14ac:dyDescent="0.1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3" x14ac:dyDescent="0.1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3" x14ac:dyDescent="0.1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3" x14ac:dyDescent="0.1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3" x14ac:dyDescent="0.1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3" x14ac:dyDescent="0.1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3" x14ac:dyDescent="0.1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3" x14ac:dyDescent="0.1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3" x14ac:dyDescent="0.1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3" x14ac:dyDescent="0.1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3" x14ac:dyDescent="0.1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3" x14ac:dyDescent="0.1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3" x14ac:dyDescent="0.1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3" x14ac:dyDescent="0.1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3" x14ac:dyDescent="0.1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3" x14ac:dyDescent="0.1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3" x14ac:dyDescent="0.1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3" x14ac:dyDescent="0.1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3" x14ac:dyDescent="0.1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3" x14ac:dyDescent="0.1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3" x14ac:dyDescent="0.1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3" x14ac:dyDescent="0.1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3" x14ac:dyDescent="0.1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3" x14ac:dyDescent="0.1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3" x14ac:dyDescent="0.1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3" x14ac:dyDescent="0.1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3" x14ac:dyDescent="0.1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3" x14ac:dyDescent="0.1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3" x14ac:dyDescent="0.1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3" x14ac:dyDescent="0.1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3" x14ac:dyDescent="0.1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3" x14ac:dyDescent="0.1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3" x14ac:dyDescent="0.1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3" x14ac:dyDescent="0.1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3" x14ac:dyDescent="0.1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3" x14ac:dyDescent="0.1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3" x14ac:dyDescent="0.1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3" x14ac:dyDescent="0.1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3" x14ac:dyDescent="0.1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3" x14ac:dyDescent="0.1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3" x14ac:dyDescent="0.1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3" x14ac:dyDescent="0.1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3" x14ac:dyDescent="0.1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3" x14ac:dyDescent="0.1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3" x14ac:dyDescent="0.1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3" x14ac:dyDescent="0.1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3" x14ac:dyDescent="0.1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3" x14ac:dyDescent="0.1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3" x14ac:dyDescent="0.1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3" x14ac:dyDescent="0.1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3" x14ac:dyDescent="0.1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3" x14ac:dyDescent="0.1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3" x14ac:dyDescent="0.1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3" x14ac:dyDescent="0.1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3" x14ac:dyDescent="0.1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3" x14ac:dyDescent="0.1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3" x14ac:dyDescent="0.1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3" x14ac:dyDescent="0.1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3" x14ac:dyDescent="0.1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3" x14ac:dyDescent="0.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3" x14ac:dyDescent="0.1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3" x14ac:dyDescent="0.1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3" x14ac:dyDescent="0.1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3" x14ac:dyDescent="0.1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3" x14ac:dyDescent="0.1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3" x14ac:dyDescent="0.1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3" x14ac:dyDescent="0.1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3" x14ac:dyDescent="0.1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3" x14ac:dyDescent="0.1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3" x14ac:dyDescent="0.1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3" x14ac:dyDescent="0.1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3" x14ac:dyDescent="0.1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3" x14ac:dyDescent="0.1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3" x14ac:dyDescent="0.1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3" x14ac:dyDescent="0.1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3" x14ac:dyDescent="0.1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3" x14ac:dyDescent="0.1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3" x14ac:dyDescent="0.1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3" x14ac:dyDescent="0.1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3" x14ac:dyDescent="0.1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3" x14ac:dyDescent="0.1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3" x14ac:dyDescent="0.1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3" x14ac:dyDescent="0.1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3" x14ac:dyDescent="0.1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3" x14ac:dyDescent="0.1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3" x14ac:dyDescent="0.1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3" x14ac:dyDescent="0.1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3" x14ac:dyDescent="0.1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3" x14ac:dyDescent="0.1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3" x14ac:dyDescent="0.1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3" x14ac:dyDescent="0.1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3" x14ac:dyDescent="0.1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3" x14ac:dyDescent="0.1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3" x14ac:dyDescent="0.1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3" x14ac:dyDescent="0.1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3" x14ac:dyDescent="0.1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3" x14ac:dyDescent="0.1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3" x14ac:dyDescent="0.1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3" x14ac:dyDescent="0.1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3" x14ac:dyDescent="0.1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3" x14ac:dyDescent="0.1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3" x14ac:dyDescent="0.1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3" x14ac:dyDescent="0.1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3" x14ac:dyDescent="0.1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3" x14ac:dyDescent="0.1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3" x14ac:dyDescent="0.1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3" x14ac:dyDescent="0.1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3" x14ac:dyDescent="0.1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3" x14ac:dyDescent="0.1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3" x14ac:dyDescent="0.1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3" x14ac:dyDescent="0.1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3" x14ac:dyDescent="0.1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3" x14ac:dyDescent="0.1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3" x14ac:dyDescent="0.1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3" x14ac:dyDescent="0.1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3" x14ac:dyDescent="0.1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3" x14ac:dyDescent="0.1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3" x14ac:dyDescent="0.1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3" x14ac:dyDescent="0.1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3" x14ac:dyDescent="0.1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3" x14ac:dyDescent="0.1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3" x14ac:dyDescent="0.1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3" x14ac:dyDescent="0.1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3" x14ac:dyDescent="0.1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3" x14ac:dyDescent="0.1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3" x14ac:dyDescent="0.1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3" x14ac:dyDescent="0.1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3" x14ac:dyDescent="0.1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3" x14ac:dyDescent="0.1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3" x14ac:dyDescent="0.1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3" x14ac:dyDescent="0.1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3" x14ac:dyDescent="0.1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3" x14ac:dyDescent="0.1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3" x14ac:dyDescent="0.1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3" x14ac:dyDescent="0.1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3" x14ac:dyDescent="0.1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3" x14ac:dyDescent="0.1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3" x14ac:dyDescent="0.1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3" x14ac:dyDescent="0.1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3" x14ac:dyDescent="0.1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3" x14ac:dyDescent="0.1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3" x14ac:dyDescent="0.1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3" x14ac:dyDescent="0.1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3" x14ac:dyDescent="0.1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3" x14ac:dyDescent="0.1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3" x14ac:dyDescent="0.1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3" x14ac:dyDescent="0.1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3" x14ac:dyDescent="0.1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3" x14ac:dyDescent="0.1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3" x14ac:dyDescent="0.1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3" x14ac:dyDescent="0.1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3" x14ac:dyDescent="0.1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3" x14ac:dyDescent="0.1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3" x14ac:dyDescent="0.1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3" x14ac:dyDescent="0.1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3" x14ac:dyDescent="0.1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3" x14ac:dyDescent="0.1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3" x14ac:dyDescent="0.1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3" x14ac:dyDescent="0.1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3" x14ac:dyDescent="0.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3" x14ac:dyDescent="0.1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3" x14ac:dyDescent="0.1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3" x14ac:dyDescent="0.1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3" x14ac:dyDescent="0.1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3" x14ac:dyDescent="0.1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3" x14ac:dyDescent="0.1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3" x14ac:dyDescent="0.1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3" x14ac:dyDescent="0.1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3" x14ac:dyDescent="0.1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3" x14ac:dyDescent="0.1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3" x14ac:dyDescent="0.1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3" x14ac:dyDescent="0.1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3" x14ac:dyDescent="0.1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3" x14ac:dyDescent="0.1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3" x14ac:dyDescent="0.1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3" x14ac:dyDescent="0.1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3" x14ac:dyDescent="0.1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3" x14ac:dyDescent="0.1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3" x14ac:dyDescent="0.1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3" x14ac:dyDescent="0.1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3" x14ac:dyDescent="0.1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3" x14ac:dyDescent="0.1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3" x14ac:dyDescent="0.1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3" x14ac:dyDescent="0.1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3" x14ac:dyDescent="0.1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3" x14ac:dyDescent="0.1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3" x14ac:dyDescent="0.1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3" x14ac:dyDescent="0.1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3" x14ac:dyDescent="0.1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3" x14ac:dyDescent="0.1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3" x14ac:dyDescent="0.1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3" x14ac:dyDescent="0.1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3" x14ac:dyDescent="0.1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3" x14ac:dyDescent="0.1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3" x14ac:dyDescent="0.1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3" x14ac:dyDescent="0.1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3" x14ac:dyDescent="0.1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3" x14ac:dyDescent="0.1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3" x14ac:dyDescent="0.1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3" x14ac:dyDescent="0.1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3" x14ac:dyDescent="0.1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3" x14ac:dyDescent="0.1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3" x14ac:dyDescent="0.1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3" x14ac:dyDescent="0.1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3" x14ac:dyDescent="0.1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3" x14ac:dyDescent="0.1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3" x14ac:dyDescent="0.1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3" x14ac:dyDescent="0.1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3" x14ac:dyDescent="0.1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3" x14ac:dyDescent="0.1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3" x14ac:dyDescent="0.1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3" x14ac:dyDescent="0.1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3" x14ac:dyDescent="0.1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3" x14ac:dyDescent="0.1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3" x14ac:dyDescent="0.1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3" x14ac:dyDescent="0.1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3" x14ac:dyDescent="0.1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3" x14ac:dyDescent="0.1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3" x14ac:dyDescent="0.1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3" x14ac:dyDescent="0.1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3" x14ac:dyDescent="0.1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3" x14ac:dyDescent="0.1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3" x14ac:dyDescent="0.1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3" x14ac:dyDescent="0.1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3" x14ac:dyDescent="0.1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3" x14ac:dyDescent="0.1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3" x14ac:dyDescent="0.1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3" x14ac:dyDescent="0.1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3" x14ac:dyDescent="0.1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3" x14ac:dyDescent="0.1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3" x14ac:dyDescent="0.1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3" x14ac:dyDescent="0.1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3" x14ac:dyDescent="0.1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3" x14ac:dyDescent="0.1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3" x14ac:dyDescent="0.1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3" x14ac:dyDescent="0.1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3" x14ac:dyDescent="0.1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3" x14ac:dyDescent="0.1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3" x14ac:dyDescent="0.1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3" x14ac:dyDescent="0.1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3" x14ac:dyDescent="0.1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3" x14ac:dyDescent="0.1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3" x14ac:dyDescent="0.1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3" x14ac:dyDescent="0.1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3" x14ac:dyDescent="0.1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3" x14ac:dyDescent="0.1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3" x14ac:dyDescent="0.1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3" x14ac:dyDescent="0.1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3" x14ac:dyDescent="0.1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3" x14ac:dyDescent="0.1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3" x14ac:dyDescent="0.1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3" x14ac:dyDescent="0.1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3" x14ac:dyDescent="0.1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3" x14ac:dyDescent="0.1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3" x14ac:dyDescent="0.1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3" x14ac:dyDescent="0.1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3" x14ac:dyDescent="0.1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3" x14ac:dyDescent="0.1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3" x14ac:dyDescent="0.1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3" x14ac:dyDescent="0.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3" x14ac:dyDescent="0.1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3" x14ac:dyDescent="0.1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3" x14ac:dyDescent="0.1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3" x14ac:dyDescent="0.1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3" x14ac:dyDescent="0.1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3" x14ac:dyDescent="0.1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3" x14ac:dyDescent="0.1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3" x14ac:dyDescent="0.1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3" x14ac:dyDescent="0.1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3" x14ac:dyDescent="0.1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3" x14ac:dyDescent="0.1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3" x14ac:dyDescent="0.1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3" x14ac:dyDescent="0.1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3" x14ac:dyDescent="0.1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3" x14ac:dyDescent="0.1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3" x14ac:dyDescent="0.1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3" x14ac:dyDescent="0.1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3" x14ac:dyDescent="0.1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3" x14ac:dyDescent="0.1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3" x14ac:dyDescent="0.1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3" x14ac:dyDescent="0.1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3" x14ac:dyDescent="0.1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3" x14ac:dyDescent="0.1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3" x14ac:dyDescent="0.1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3" x14ac:dyDescent="0.1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3" x14ac:dyDescent="0.1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3" x14ac:dyDescent="0.1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3" x14ac:dyDescent="0.1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3" x14ac:dyDescent="0.1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3" x14ac:dyDescent="0.1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3" x14ac:dyDescent="0.1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3" x14ac:dyDescent="0.1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3" x14ac:dyDescent="0.1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3" x14ac:dyDescent="0.1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3" x14ac:dyDescent="0.1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3" x14ac:dyDescent="0.1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3" x14ac:dyDescent="0.1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3" x14ac:dyDescent="0.1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3" x14ac:dyDescent="0.1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3" x14ac:dyDescent="0.1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3" x14ac:dyDescent="0.1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3" x14ac:dyDescent="0.1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3" x14ac:dyDescent="0.1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3" x14ac:dyDescent="0.1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3" x14ac:dyDescent="0.1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3" x14ac:dyDescent="0.1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3" x14ac:dyDescent="0.1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3" x14ac:dyDescent="0.1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3" x14ac:dyDescent="0.1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3" x14ac:dyDescent="0.1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3" x14ac:dyDescent="0.1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3" x14ac:dyDescent="0.1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3" x14ac:dyDescent="0.1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3" x14ac:dyDescent="0.1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3" x14ac:dyDescent="0.1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3" x14ac:dyDescent="0.1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3" x14ac:dyDescent="0.1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3" x14ac:dyDescent="0.1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3" x14ac:dyDescent="0.1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3" x14ac:dyDescent="0.1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3" x14ac:dyDescent="0.1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3" x14ac:dyDescent="0.1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3" x14ac:dyDescent="0.1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3" x14ac:dyDescent="0.1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3" x14ac:dyDescent="0.1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3" x14ac:dyDescent="0.1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3" x14ac:dyDescent="0.1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3" x14ac:dyDescent="0.1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3" x14ac:dyDescent="0.1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3" x14ac:dyDescent="0.1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3" x14ac:dyDescent="0.1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3" x14ac:dyDescent="0.1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3" x14ac:dyDescent="0.1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3" x14ac:dyDescent="0.1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3" x14ac:dyDescent="0.1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3" x14ac:dyDescent="0.1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3" x14ac:dyDescent="0.1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3" x14ac:dyDescent="0.1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3" x14ac:dyDescent="0.1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3" x14ac:dyDescent="0.1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3" x14ac:dyDescent="0.1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3" x14ac:dyDescent="0.1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3" x14ac:dyDescent="0.1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3" x14ac:dyDescent="0.1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3" x14ac:dyDescent="0.1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3" x14ac:dyDescent="0.1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3" x14ac:dyDescent="0.1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3" x14ac:dyDescent="0.1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3" x14ac:dyDescent="0.1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3" x14ac:dyDescent="0.1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3" x14ac:dyDescent="0.1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3" x14ac:dyDescent="0.1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3" x14ac:dyDescent="0.1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3" x14ac:dyDescent="0.1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3" x14ac:dyDescent="0.1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3" x14ac:dyDescent="0.1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3" x14ac:dyDescent="0.1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3" x14ac:dyDescent="0.1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3" x14ac:dyDescent="0.1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3" x14ac:dyDescent="0.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3" x14ac:dyDescent="0.1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3" x14ac:dyDescent="0.1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3" x14ac:dyDescent="0.1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3" x14ac:dyDescent="0.1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3" x14ac:dyDescent="0.1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3" x14ac:dyDescent="0.1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3" x14ac:dyDescent="0.1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3" x14ac:dyDescent="0.1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3" x14ac:dyDescent="0.1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3" x14ac:dyDescent="0.1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3" x14ac:dyDescent="0.1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3" x14ac:dyDescent="0.1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3" x14ac:dyDescent="0.1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3" x14ac:dyDescent="0.1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3" x14ac:dyDescent="0.1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3" x14ac:dyDescent="0.1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3" x14ac:dyDescent="0.1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3" x14ac:dyDescent="0.1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3" x14ac:dyDescent="0.1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3" x14ac:dyDescent="0.1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3" x14ac:dyDescent="0.1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3" x14ac:dyDescent="0.1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3" x14ac:dyDescent="0.1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3" x14ac:dyDescent="0.1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3" x14ac:dyDescent="0.1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3" x14ac:dyDescent="0.1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3" x14ac:dyDescent="0.1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3" x14ac:dyDescent="0.1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3" x14ac:dyDescent="0.1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3" x14ac:dyDescent="0.1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3" x14ac:dyDescent="0.1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3" x14ac:dyDescent="0.1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3" x14ac:dyDescent="0.1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3" x14ac:dyDescent="0.1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3" x14ac:dyDescent="0.1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3" x14ac:dyDescent="0.1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3" x14ac:dyDescent="0.1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3" x14ac:dyDescent="0.1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3" x14ac:dyDescent="0.1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3" x14ac:dyDescent="0.1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3" x14ac:dyDescent="0.1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3" x14ac:dyDescent="0.1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3" x14ac:dyDescent="0.1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3" x14ac:dyDescent="0.1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3" x14ac:dyDescent="0.1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3" x14ac:dyDescent="0.1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3" x14ac:dyDescent="0.1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3" x14ac:dyDescent="0.1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3" x14ac:dyDescent="0.1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3" x14ac:dyDescent="0.1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3" x14ac:dyDescent="0.1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3" x14ac:dyDescent="0.1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3" x14ac:dyDescent="0.1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3" x14ac:dyDescent="0.1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3" x14ac:dyDescent="0.1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3" x14ac:dyDescent="0.1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3" x14ac:dyDescent="0.1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3" x14ac:dyDescent="0.1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3" x14ac:dyDescent="0.1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3" x14ac:dyDescent="0.1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3" x14ac:dyDescent="0.1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3" x14ac:dyDescent="0.1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3" x14ac:dyDescent="0.1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3" x14ac:dyDescent="0.1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3" x14ac:dyDescent="0.1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3" x14ac:dyDescent="0.1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3" x14ac:dyDescent="0.1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3" x14ac:dyDescent="0.1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3" x14ac:dyDescent="0.1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3" x14ac:dyDescent="0.1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3" x14ac:dyDescent="0.1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3" x14ac:dyDescent="0.1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3" x14ac:dyDescent="0.1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3" x14ac:dyDescent="0.1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3" x14ac:dyDescent="0.1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3" x14ac:dyDescent="0.1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3" x14ac:dyDescent="0.1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3" x14ac:dyDescent="0.1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3" x14ac:dyDescent="0.1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3" x14ac:dyDescent="0.1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3" x14ac:dyDescent="0.1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3" x14ac:dyDescent="0.1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3" x14ac:dyDescent="0.1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3" x14ac:dyDescent="0.1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3" x14ac:dyDescent="0.1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A81:K81"/>
    <mergeCell ref="A1:K1"/>
    <mergeCell ref="A17:K17"/>
    <mergeCell ref="A33:K33"/>
    <mergeCell ref="A49:K49"/>
    <mergeCell ref="A65:K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cols>
    <col min="1" max="1" width="16.83203125" bestFit="1" customWidth="1"/>
    <col min="5" max="5" width="15.6640625" customWidth="1"/>
    <col min="8" max="8" width="16.6640625" customWidth="1"/>
    <col min="9" max="9" width="15.6640625" customWidth="1"/>
    <col min="11" max="11" width="17.1640625" bestFit="1" customWidth="1"/>
    <col min="13" max="13" width="22.33203125" customWidth="1"/>
    <col min="19" max="19" width="16.6640625" customWidth="1"/>
    <col min="20" max="20" width="15.6640625" customWidth="1"/>
    <col min="22" max="22" width="17.1640625" customWidth="1"/>
    <col min="23" max="23" width="15.1640625" customWidth="1"/>
    <col min="24" max="24" width="22.33203125" customWidth="1"/>
  </cols>
  <sheetData>
    <row r="1" spans="1:26" ht="15.75" customHeight="1" x14ac:dyDescent="0.15">
      <c r="A1" s="12"/>
      <c r="B1" s="63" t="s">
        <v>119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64" t="s">
        <v>120</v>
      </c>
      <c r="P1" s="46"/>
      <c r="Q1" s="46"/>
      <c r="R1" s="46"/>
      <c r="S1" s="46"/>
      <c r="T1" s="46"/>
      <c r="U1" s="46"/>
      <c r="V1" s="46"/>
      <c r="W1" s="46"/>
      <c r="X1" s="46"/>
      <c r="Y1" s="12"/>
      <c r="Z1" s="12"/>
    </row>
    <row r="2" spans="1:26" ht="15.75" customHeight="1" x14ac:dyDescent="0.15">
      <c r="A2" s="12" t="s">
        <v>121</v>
      </c>
      <c r="B2" s="12" t="s">
        <v>122</v>
      </c>
      <c r="C2" s="12" t="s">
        <v>123</v>
      </c>
      <c r="D2" s="12" t="s">
        <v>124</v>
      </c>
      <c r="E2" s="12" t="s">
        <v>125</v>
      </c>
      <c r="F2" s="12" t="s">
        <v>126</v>
      </c>
      <c r="G2" s="12" t="s">
        <v>127</v>
      </c>
      <c r="H2" s="12" t="s">
        <v>128</v>
      </c>
      <c r="I2" s="12" t="s">
        <v>129</v>
      </c>
      <c r="J2" s="12" t="s">
        <v>130</v>
      </c>
      <c r="K2" s="12" t="s">
        <v>131</v>
      </c>
      <c r="L2" s="12" t="s">
        <v>132</v>
      </c>
      <c r="M2" s="12" t="s">
        <v>133</v>
      </c>
      <c r="N2" s="12" t="s">
        <v>134</v>
      </c>
      <c r="O2" s="12" t="s">
        <v>124</v>
      </c>
      <c r="P2" s="12" t="s">
        <v>125</v>
      </c>
      <c r="Q2" s="12" t="s">
        <v>126</v>
      </c>
      <c r="R2" s="12" t="s">
        <v>127</v>
      </c>
      <c r="S2" s="12" t="s">
        <v>128</v>
      </c>
      <c r="T2" s="12" t="s">
        <v>129</v>
      </c>
      <c r="U2" s="12" t="s">
        <v>130</v>
      </c>
      <c r="V2" s="12" t="s">
        <v>131</v>
      </c>
      <c r="W2" s="12" t="s">
        <v>132</v>
      </c>
      <c r="X2" s="12" t="s">
        <v>133</v>
      </c>
      <c r="Y2" s="12"/>
      <c r="Z2" s="12"/>
    </row>
    <row r="3" spans="1:26" ht="15.75" customHeight="1" x14ac:dyDescent="0.15">
      <c r="A3" s="37">
        <v>45427.686514988425</v>
      </c>
      <c r="B3" s="12">
        <v>22</v>
      </c>
      <c r="C3" s="12" t="s">
        <v>135</v>
      </c>
      <c r="D3" s="12" t="s">
        <v>136</v>
      </c>
      <c r="E3" s="12">
        <v>9</v>
      </c>
      <c r="F3" s="12">
        <v>8</v>
      </c>
      <c r="G3" s="12">
        <v>9</v>
      </c>
      <c r="H3" s="12" t="s">
        <v>137</v>
      </c>
      <c r="I3" s="12" t="s">
        <v>138</v>
      </c>
      <c r="J3" s="12">
        <v>5</v>
      </c>
      <c r="K3" s="12">
        <v>9</v>
      </c>
      <c r="L3" s="12">
        <v>9</v>
      </c>
      <c r="M3" s="12" t="s">
        <v>139</v>
      </c>
      <c r="N3" s="12"/>
      <c r="O3" s="12" t="s">
        <v>136</v>
      </c>
      <c r="P3" s="12">
        <v>9</v>
      </c>
      <c r="Q3" s="12">
        <v>9</v>
      </c>
      <c r="R3" s="12">
        <v>9</v>
      </c>
      <c r="S3" s="12" t="s">
        <v>137</v>
      </c>
      <c r="T3" s="12" t="s">
        <v>138</v>
      </c>
      <c r="U3" s="12">
        <v>5</v>
      </c>
      <c r="V3" s="12" t="s">
        <v>139</v>
      </c>
      <c r="W3" s="12" t="s">
        <v>139</v>
      </c>
      <c r="X3" s="12">
        <v>9</v>
      </c>
      <c r="Y3" s="12"/>
      <c r="Z3" s="12"/>
    </row>
    <row r="4" spans="1:26" ht="15.75" customHeight="1" x14ac:dyDescent="0.15">
      <c r="A4" s="37">
        <v>45427.687937731476</v>
      </c>
      <c r="B4" s="12">
        <v>26</v>
      </c>
      <c r="C4" s="12" t="s">
        <v>135</v>
      </c>
      <c r="D4" s="12" t="s">
        <v>140</v>
      </c>
      <c r="E4" s="12">
        <v>6</v>
      </c>
      <c r="F4" s="12">
        <v>8</v>
      </c>
      <c r="G4" s="12">
        <v>8</v>
      </c>
      <c r="H4" s="12">
        <v>4</v>
      </c>
      <c r="I4" s="12">
        <v>2</v>
      </c>
      <c r="J4" s="12">
        <v>4</v>
      </c>
      <c r="K4" s="12">
        <v>8</v>
      </c>
      <c r="L4" s="12">
        <v>8</v>
      </c>
      <c r="M4" s="12">
        <v>8</v>
      </c>
      <c r="N4" s="12"/>
      <c r="O4" s="12" t="s">
        <v>140</v>
      </c>
      <c r="P4" s="12">
        <v>9</v>
      </c>
      <c r="Q4" s="12">
        <v>9</v>
      </c>
      <c r="R4" s="12">
        <v>9</v>
      </c>
      <c r="S4" s="12" t="s">
        <v>137</v>
      </c>
      <c r="T4" s="12" t="s">
        <v>141</v>
      </c>
      <c r="U4" s="12">
        <v>4</v>
      </c>
      <c r="V4" s="12" t="s">
        <v>139</v>
      </c>
      <c r="W4" s="12" t="s">
        <v>139</v>
      </c>
      <c r="X4" s="12" t="s">
        <v>139</v>
      </c>
      <c r="Y4" s="12"/>
      <c r="Z4" s="12"/>
    </row>
    <row r="5" spans="1:26" ht="15.75" customHeight="1" x14ac:dyDescent="0.15">
      <c r="A5" s="37">
        <v>45427.689729328704</v>
      </c>
      <c r="B5" s="12">
        <v>31</v>
      </c>
      <c r="C5" s="12" t="s">
        <v>142</v>
      </c>
      <c r="D5" s="12" t="s">
        <v>140</v>
      </c>
      <c r="E5" s="12">
        <v>7</v>
      </c>
      <c r="F5" s="12">
        <v>6</v>
      </c>
      <c r="G5" s="12">
        <v>7</v>
      </c>
      <c r="H5" s="12">
        <v>4</v>
      </c>
      <c r="I5" s="12" t="s">
        <v>141</v>
      </c>
      <c r="J5" s="12">
        <v>4</v>
      </c>
      <c r="K5" s="12">
        <v>8</v>
      </c>
      <c r="L5" s="12">
        <v>8</v>
      </c>
      <c r="M5" s="12">
        <v>8</v>
      </c>
      <c r="N5" s="12"/>
      <c r="O5" s="12" t="s">
        <v>140</v>
      </c>
      <c r="P5" s="12">
        <v>7</v>
      </c>
      <c r="Q5" s="12">
        <v>7</v>
      </c>
      <c r="R5" s="12">
        <v>7</v>
      </c>
      <c r="S5" s="12">
        <v>3</v>
      </c>
      <c r="T5" s="12" t="s">
        <v>141</v>
      </c>
      <c r="U5" s="12">
        <v>4</v>
      </c>
      <c r="V5" s="12">
        <v>7</v>
      </c>
      <c r="W5" s="12">
        <v>7</v>
      </c>
      <c r="X5" s="12">
        <v>7</v>
      </c>
      <c r="Y5" s="12"/>
      <c r="Z5" s="12"/>
    </row>
    <row r="6" spans="1:26" ht="15.75" customHeight="1" x14ac:dyDescent="0.15">
      <c r="A6" s="37">
        <v>45427.689965972226</v>
      </c>
      <c r="B6" s="12">
        <v>28</v>
      </c>
      <c r="C6" s="12" t="s">
        <v>135</v>
      </c>
      <c r="D6" s="12" t="s">
        <v>140</v>
      </c>
      <c r="E6" s="12">
        <v>6</v>
      </c>
      <c r="F6" s="12">
        <v>6</v>
      </c>
      <c r="G6" s="12">
        <v>5</v>
      </c>
      <c r="H6" s="12">
        <v>3</v>
      </c>
      <c r="I6" s="12">
        <v>3</v>
      </c>
      <c r="J6" s="12">
        <v>3</v>
      </c>
      <c r="K6" s="12">
        <v>5</v>
      </c>
      <c r="L6" s="12">
        <v>6</v>
      </c>
      <c r="M6" s="12">
        <v>6</v>
      </c>
      <c r="N6" s="12"/>
      <c r="O6" s="12" t="s">
        <v>140</v>
      </c>
      <c r="P6" s="12">
        <v>8</v>
      </c>
      <c r="Q6" s="12">
        <v>8</v>
      </c>
      <c r="R6" s="12">
        <v>7</v>
      </c>
      <c r="S6" s="12">
        <v>4</v>
      </c>
      <c r="T6" s="12" t="s">
        <v>141</v>
      </c>
      <c r="U6" s="12">
        <v>4</v>
      </c>
      <c r="V6" s="12">
        <v>7</v>
      </c>
      <c r="W6" s="12">
        <v>8</v>
      </c>
      <c r="X6" s="12">
        <v>8</v>
      </c>
      <c r="Y6" s="12"/>
      <c r="Z6" s="12"/>
    </row>
    <row r="7" spans="1:26" ht="15.75" customHeight="1" x14ac:dyDescent="0.15">
      <c r="A7" s="37">
        <v>45427.716865601848</v>
      </c>
      <c r="B7" s="12">
        <v>30</v>
      </c>
      <c r="C7" s="12" t="s">
        <v>135</v>
      </c>
      <c r="D7" s="12" t="s">
        <v>136</v>
      </c>
      <c r="E7" s="12" t="s">
        <v>139</v>
      </c>
      <c r="F7" s="12">
        <v>9</v>
      </c>
      <c r="G7" s="12">
        <v>8</v>
      </c>
      <c r="H7" s="12">
        <v>4</v>
      </c>
      <c r="I7" s="12" t="s">
        <v>141</v>
      </c>
      <c r="J7" s="12">
        <v>5</v>
      </c>
      <c r="K7" s="12">
        <v>9</v>
      </c>
      <c r="L7" s="12" t="s">
        <v>139</v>
      </c>
      <c r="M7" s="12" t="s">
        <v>139</v>
      </c>
      <c r="N7" s="12"/>
      <c r="O7" s="12" t="s">
        <v>136</v>
      </c>
      <c r="P7" s="12" t="s">
        <v>139</v>
      </c>
      <c r="Q7" s="12">
        <v>7</v>
      </c>
      <c r="R7" s="12">
        <v>9</v>
      </c>
      <c r="S7" s="12">
        <v>3</v>
      </c>
      <c r="T7" s="12">
        <v>2</v>
      </c>
      <c r="U7" s="12">
        <v>5</v>
      </c>
      <c r="V7" s="12">
        <v>8</v>
      </c>
      <c r="W7" s="12">
        <v>9</v>
      </c>
      <c r="X7" s="12">
        <v>8</v>
      </c>
      <c r="Y7" s="12"/>
      <c r="Z7" s="12"/>
    </row>
    <row r="8" spans="1:26" ht="15.75" customHeight="1" x14ac:dyDescent="0.1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1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1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1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1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1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1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1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1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1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3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3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3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3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1:N1"/>
    <mergeCell ref="O1: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7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2" width="18.83203125" customWidth="1"/>
    <col min="13" max="13" width="22.33203125" customWidth="1"/>
    <col min="14" max="31" width="18.83203125" customWidth="1"/>
  </cols>
  <sheetData>
    <row r="1" spans="1:31" ht="15.75" customHeight="1" x14ac:dyDescent="0.15">
      <c r="A1" s="12"/>
      <c r="B1" s="63" t="s">
        <v>119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64" t="s">
        <v>120</v>
      </c>
      <c r="P1" s="46"/>
      <c r="Q1" s="46"/>
      <c r="R1" s="46"/>
      <c r="S1" s="46"/>
      <c r="T1" s="46"/>
      <c r="U1" s="46"/>
      <c r="V1" s="46"/>
      <c r="W1" s="46"/>
      <c r="X1" s="46"/>
      <c r="Y1" s="12"/>
      <c r="Z1" s="12"/>
      <c r="AA1" s="12"/>
      <c r="AB1" s="12"/>
      <c r="AC1" s="12"/>
      <c r="AD1" s="12"/>
      <c r="AE1" s="12"/>
    </row>
    <row r="2" spans="1:31" ht="15.75" customHeight="1" x14ac:dyDescent="0.15">
      <c r="A2" s="12" t="s">
        <v>121</v>
      </c>
      <c r="B2" s="12" t="s">
        <v>122</v>
      </c>
      <c r="C2" s="12" t="s">
        <v>123</v>
      </c>
      <c r="D2" s="12" t="s">
        <v>124</v>
      </c>
      <c r="E2" s="12" t="s">
        <v>125</v>
      </c>
      <c r="F2" s="12" t="s">
        <v>126</v>
      </c>
      <c r="G2" s="12" t="s">
        <v>127</v>
      </c>
      <c r="H2" s="12" t="s">
        <v>128</v>
      </c>
      <c r="I2" s="12" t="s">
        <v>129</v>
      </c>
      <c r="J2" s="12" t="s">
        <v>130</v>
      </c>
      <c r="K2" s="12" t="s">
        <v>131</v>
      </c>
      <c r="L2" s="12" t="s">
        <v>132</v>
      </c>
      <c r="M2" s="12" t="s">
        <v>133</v>
      </c>
      <c r="N2" s="12" t="s">
        <v>134</v>
      </c>
      <c r="O2" s="12" t="s">
        <v>124</v>
      </c>
      <c r="P2" s="12" t="s">
        <v>125</v>
      </c>
      <c r="Q2" s="12" t="s">
        <v>126</v>
      </c>
      <c r="R2" s="12" t="s">
        <v>127</v>
      </c>
      <c r="S2" s="12" t="s">
        <v>128</v>
      </c>
      <c r="T2" s="12" t="s">
        <v>129</v>
      </c>
      <c r="U2" s="12" t="s">
        <v>130</v>
      </c>
      <c r="V2" s="12" t="s">
        <v>131</v>
      </c>
      <c r="W2" s="12" t="s">
        <v>132</v>
      </c>
      <c r="X2" s="12" t="s">
        <v>133</v>
      </c>
      <c r="Y2" s="12" t="s">
        <v>134</v>
      </c>
      <c r="Z2" s="12"/>
      <c r="AA2" s="12"/>
      <c r="AB2" s="12"/>
      <c r="AC2" s="12"/>
      <c r="AD2" s="12"/>
      <c r="AE2" s="12"/>
    </row>
    <row r="3" spans="1:31" ht="15.75" customHeight="1" x14ac:dyDescent="0.15">
      <c r="A3" s="37">
        <v>45427.686514988425</v>
      </c>
      <c r="B3" s="12">
        <v>22</v>
      </c>
      <c r="C3" s="12" t="s">
        <v>135</v>
      </c>
      <c r="D3" s="12" t="s">
        <v>136</v>
      </c>
      <c r="E3" s="12">
        <v>9</v>
      </c>
      <c r="F3" s="12">
        <v>8</v>
      </c>
      <c r="G3" s="12">
        <v>9</v>
      </c>
      <c r="H3" s="12" t="s">
        <v>137</v>
      </c>
      <c r="I3" s="12" t="s">
        <v>138</v>
      </c>
      <c r="J3" s="12">
        <v>5</v>
      </c>
      <c r="K3" s="12">
        <v>9</v>
      </c>
      <c r="L3" s="12">
        <v>9</v>
      </c>
      <c r="M3" s="12" t="s">
        <v>139</v>
      </c>
      <c r="N3" s="12"/>
      <c r="O3" s="12" t="s">
        <v>136</v>
      </c>
      <c r="P3" s="12">
        <v>9</v>
      </c>
      <c r="Q3" s="12">
        <v>9</v>
      </c>
      <c r="R3" s="12">
        <v>9</v>
      </c>
      <c r="S3" s="12" t="s">
        <v>137</v>
      </c>
      <c r="T3" s="12" t="s">
        <v>138</v>
      </c>
      <c r="U3" s="12">
        <v>5</v>
      </c>
      <c r="V3" s="12" t="s">
        <v>139</v>
      </c>
      <c r="W3" s="12" t="s">
        <v>139</v>
      </c>
      <c r="X3" s="12">
        <v>9</v>
      </c>
      <c r="Y3" s="12"/>
      <c r="Z3" s="12"/>
      <c r="AA3" s="12"/>
      <c r="AB3" s="12"/>
      <c r="AC3" s="12"/>
      <c r="AD3" s="12"/>
      <c r="AE3" s="12"/>
    </row>
    <row r="4" spans="1:31" ht="15.75" customHeight="1" x14ac:dyDescent="0.15">
      <c r="A4" s="37">
        <v>45427.687937731476</v>
      </c>
      <c r="B4" s="12">
        <v>26</v>
      </c>
      <c r="C4" s="12" t="s">
        <v>135</v>
      </c>
      <c r="D4" s="12" t="s">
        <v>140</v>
      </c>
      <c r="E4" s="12">
        <v>6</v>
      </c>
      <c r="F4" s="12">
        <v>8</v>
      </c>
      <c r="G4" s="12">
        <v>8</v>
      </c>
      <c r="H4" s="12">
        <v>4</v>
      </c>
      <c r="I4" s="12">
        <v>2</v>
      </c>
      <c r="J4" s="12">
        <v>4</v>
      </c>
      <c r="K4" s="12">
        <v>8</v>
      </c>
      <c r="L4" s="12">
        <v>8</v>
      </c>
      <c r="M4" s="12">
        <v>8</v>
      </c>
      <c r="N4" s="12"/>
      <c r="O4" s="12" t="s">
        <v>140</v>
      </c>
      <c r="P4" s="12">
        <v>9</v>
      </c>
      <c r="Q4" s="12">
        <v>9</v>
      </c>
      <c r="R4" s="12">
        <v>9</v>
      </c>
      <c r="S4" s="12" t="s">
        <v>137</v>
      </c>
      <c r="T4" s="12" t="s">
        <v>141</v>
      </c>
      <c r="U4" s="12">
        <v>4</v>
      </c>
      <c r="V4" s="12" t="s">
        <v>139</v>
      </c>
      <c r="W4" s="12" t="s">
        <v>139</v>
      </c>
      <c r="X4" s="12" t="s">
        <v>139</v>
      </c>
      <c r="Y4" s="12"/>
      <c r="Z4" s="12"/>
      <c r="AA4" s="12"/>
      <c r="AB4" s="12"/>
      <c r="AC4" s="12"/>
      <c r="AD4" s="12"/>
      <c r="AE4" s="12"/>
    </row>
    <row r="5" spans="1:31" ht="15.75" customHeight="1" x14ac:dyDescent="0.15">
      <c r="A5" s="37">
        <v>45427.689729328704</v>
      </c>
      <c r="B5" s="12">
        <v>31</v>
      </c>
      <c r="C5" s="12" t="s">
        <v>142</v>
      </c>
      <c r="D5" s="12" t="s">
        <v>140</v>
      </c>
      <c r="E5" s="12">
        <v>7</v>
      </c>
      <c r="F5" s="12">
        <v>6</v>
      </c>
      <c r="G5" s="12">
        <v>7</v>
      </c>
      <c r="H5" s="12">
        <v>4</v>
      </c>
      <c r="I5" s="12" t="s">
        <v>141</v>
      </c>
      <c r="J5" s="12">
        <v>4</v>
      </c>
      <c r="K5" s="12">
        <v>8</v>
      </c>
      <c r="L5" s="12">
        <v>8</v>
      </c>
      <c r="M5" s="12">
        <v>8</v>
      </c>
      <c r="N5" s="12"/>
      <c r="O5" s="12" t="s">
        <v>140</v>
      </c>
      <c r="P5" s="12">
        <v>7</v>
      </c>
      <c r="Q5" s="12">
        <v>7</v>
      </c>
      <c r="R5" s="12">
        <v>7</v>
      </c>
      <c r="S5" s="12">
        <v>3</v>
      </c>
      <c r="T5" s="12" t="s">
        <v>141</v>
      </c>
      <c r="U5" s="12">
        <v>4</v>
      </c>
      <c r="V5" s="12">
        <v>7</v>
      </c>
      <c r="W5" s="12">
        <v>7</v>
      </c>
      <c r="X5" s="12">
        <v>7</v>
      </c>
      <c r="Y5" s="12"/>
      <c r="Z5" s="12"/>
      <c r="AA5" s="12"/>
      <c r="AB5" s="12"/>
      <c r="AC5" s="12"/>
      <c r="AD5" s="12"/>
      <c r="AE5" s="12"/>
    </row>
    <row r="6" spans="1:31" ht="15.75" customHeight="1" x14ac:dyDescent="0.15">
      <c r="A6" s="37">
        <v>45427.689965972226</v>
      </c>
      <c r="B6" s="12">
        <v>28</v>
      </c>
      <c r="C6" s="12" t="s">
        <v>135</v>
      </c>
      <c r="D6" s="12" t="s">
        <v>140</v>
      </c>
      <c r="E6" s="12">
        <v>6</v>
      </c>
      <c r="F6" s="12">
        <v>6</v>
      </c>
      <c r="G6" s="12">
        <v>5</v>
      </c>
      <c r="H6" s="12">
        <v>3</v>
      </c>
      <c r="I6" s="12">
        <v>3</v>
      </c>
      <c r="J6" s="12">
        <v>3</v>
      </c>
      <c r="K6" s="12">
        <v>5</v>
      </c>
      <c r="L6" s="12">
        <v>6</v>
      </c>
      <c r="M6" s="12">
        <v>6</v>
      </c>
      <c r="N6" s="12"/>
      <c r="O6" s="12" t="s">
        <v>140</v>
      </c>
      <c r="P6" s="12">
        <v>8</v>
      </c>
      <c r="Q6" s="12">
        <v>8</v>
      </c>
      <c r="R6" s="12">
        <v>7</v>
      </c>
      <c r="S6" s="12">
        <v>4</v>
      </c>
      <c r="T6" s="12" t="s">
        <v>141</v>
      </c>
      <c r="U6" s="12">
        <v>4</v>
      </c>
      <c r="V6" s="12">
        <v>7</v>
      </c>
      <c r="W6" s="12">
        <v>8</v>
      </c>
      <c r="X6" s="12">
        <v>8</v>
      </c>
      <c r="Y6" s="12"/>
      <c r="Z6" s="12"/>
      <c r="AA6" s="12"/>
      <c r="AB6" s="12"/>
      <c r="AC6" s="12"/>
      <c r="AD6" s="12"/>
      <c r="AE6" s="12"/>
    </row>
    <row r="7" spans="1:31" ht="15.75" customHeight="1" x14ac:dyDescent="0.15">
      <c r="A7" s="37">
        <v>45427.716865601848</v>
      </c>
      <c r="B7" s="12">
        <v>30</v>
      </c>
      <c r="C7" s="12" t="s">
        <v>135</v>
      </c>
      <c r="D7" s="12" t="s">
        <v>136</v>
      </c>
      <c r="E7" s="12" t="s">
        <v>139</v>
      </c>
      <c r="F7" s="12">
        <v>9</v>
      </c>
      <c r="G7" s="12">
        <v>8</v>
      </c>
      <c r="H7" s="12">
        <v>4</v>
      </c>
      <c r="I7" s="12" t="s">
        <v>141</v>
      </c>
      <c r="J7" s="12">
        <v>5</v>
      </c>
      <c r="K7" s="12">
        <v>9</v>
      </c>
      <c r="L7" s="12" t="s">
        <v>139</v>
      </c>
      <c r="M7" s="12" t="s">
        <v>139</v>
      </c>
      <c r="N7" s="12"/>
      <c r="O7" s="12" t="s">
        <v>136</v>
      </c>
      <c r="P7" s="12" t="s">
        <v>139</v>
      </c>
      <c r="Q7" s="12">
        <v>7</v>
      </c>
      <c r="R7" s="12">
        <v>9</v>
      </c>
      <c r="S7" s="12">
        <v>3</v>
      </c>
      <c r="T7" s="12">
        <v>2</v>
      </c>
      <c r="U7" s="12">
        <v>5</v>
      </c>
      <c r="V7" s="12">
        <v>8</v>
      </c>
      <c r="W7" s="12">
        <v>9</v>
      </c>
      <c r="X7" s="12">
        <v>8</v>
      </c>
      <c r="Y7" s="12"/>
      <c r="Z7" s="12"/>
      <c r="AA7" s="12"/>
      <c r="AB7" s="12"/>
      <c r="AC7" s="12"/>
      <c r="AD7" s="12"/>
      <c r="AE7" s="12"/>
    </row>
    <row r="8" spans="1:31" ht="15.75" customHeight="1" x14ac:dyDescent="0.1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5.75" customHeight="1" x14ac:dyDescent="0.1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15.75" customHeight="1" x14ac:dyDescent="0.1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15.7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5.7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ht="15.75" customHeight="1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ht="15.75" customHeight="1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ht="15.75" customHeight="1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ht="15.7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ht="15.75" customHeight="1" x14ac:dyDescent="0.1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15.75" customHeight="1" x14ac:dyDescent="0.1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15.75" customHeight="1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15.75" customHeight="1" x14ac:dyDescent="0.1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ht="15.75" customHeight="1" x14ac:dyDescent="0.1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ht="15.75" customHeight="1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ht="15.75" customHeight="1" x14ac:dyDescent="0.1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ht="15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t="15.75" customHeight="1" x14ac:dyDescent="0.1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15.75" customHeight="1" x14ac:dyDescent="0.1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15.75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ht="15.75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ht="15.75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15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ht="15.7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ht="15.75" customHeight="1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ht="15.75" customHeight="1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15.7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15.7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15.75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ht="15.7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ht="15.75" customHeight="1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15.75" customHeight="1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ht="15.75" customHeight="1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ht="13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ht="13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1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31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1:31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1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1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1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1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1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1:31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1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</sheetData>
  <mergeCells count="2">
    <mergeCell ref="B1:N1"/>
    <mergeCell ref="O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Seedlings measurements</vt:lpstr>
      <vt:lpstr>Water quality measurments Senso</vt:lpstr>
      <vt:lpstr>Water quality parametersPortabl</vt:lpstr>
      <vt:lpstr>Nutrients  Water consumptions</vt:lpstr>
      <vt:lpstr>Harvest measurements</vt:lpstr>
      <vt:lpstr>Test Taste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OSAMA MOHAMED SHALASH</cp:lastModifiedBy>
  <dcterms:modified xsi:type="dcterms:W3CDTF">2024-07-17T09:15:56Z</dcterms:modified>
</cp:coreProperties>
</file>