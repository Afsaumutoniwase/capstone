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omarshalash/My Drive/Supervision/Hydroponic/Envirnomental Quality/"/>
    </mc:Choice>
  </mc:AlternateContent>
  <xr:revisionPtr revIDLastSave="0" documentId="13_ncr:1_{7748A614-C702-4D40-8E43-CB817DF30550}" xr6:coauthVersionLast="47" xr6:coauthVersionMax="47" xr10:uidLastSave="{00000000-0000-0000-0000-000000000000}"/>
  <bookViews>
    <workbookView xWindow="0" yWindow="740" windowWidth="29400" windowHeight="16680" activeTab="5" xr2:uid="{00000000-000D-0000-FFFF-FFFF00000000}"/>
  </bookViews>
  <sheets>
    <sheet name="Seedlings measurements" sheetId="1" r:id="rId1"/>
    <sheet name="Water quality measurments Senso" sheetId="2" r:id="rId2"/>
    <sheet name="Water quality parametersPortabl" sheetId="3" r:id="rId3"/>
    <sheet name="Nutrients  Water consumptions" sheetId="4" r:id="rId4"/>
    <sheet name="Head diameter" sheetId="5" r:id="rId5"/>
    <sheet name="Harvest measurements 84202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cBRVBbsZWVG095eNdG0fDVehBHyvYFc0E8jjLEiV1qs="/>
    </ext>
  </extLst>
</workbook>
</file>

<file path=xl/calcChain.xml><?xml version="1.0" encoding="utf-8"?>
<calcChain xmlns="http://schemas.openxmlformats.org/spreadsheetml/2006/main">
  <c r="J94" i="6" l="1"/>
  <c r="E94" i="6"/>
  <c r="J93" i="6"/>
  <c r="E93" i="6"/>
  <c r="J92" i="6"/>
  <c r="E92" i="6"/>
  <c r="J91" i="6"/>
  <c r="E91" i="6"/>
  <c r="J90" i="6"/>
  <c r="E90" i="6"/>
  <c r="J89" i="6"/>
  <c r="E89" i="6"/>
  <c r="J88" i="6"/>
  <c r="E88" i="6"/>
  <c r="J87" i="6"/>
  <c r="E87" i="6"/>
  <c r="J86" i="6"/>
  <c r="E86" i="6"/>
  <c r="J85" i="6"/>
  <c r="E85" i="6"/>
  <c r="J84" i="6"/>
  <c r="E84" i="6"/>
  <c r="J83" i="6"/>
  <c r="E83" i="6"/>
  <c r="J78" i="6"/>
  <c r="E78" i="6"/>
  <c r="J77" i="6"/>
  <c r="E77" i="6"/>
  <c r="J76" i="6"/>
  <c r="E76" i="6"/>
  <c r="J75" i="6"/>
  <c r="E75" i="6"/>
  <c r="J74" i="6"/>
  <c r="E74" i="6"/>
  <c r="J73" i="6"/>
  <c r="E73" i="6"/>
  <c r="J72" i="6"/>
  <c r="E72" i="6"/>
  <c r="J71" i="6"/>
  <c r="E71" i="6"/>
  <c r="J70" i="6"/>
  <c r="E70" i="6"/>
  <c r="J69" i="6"/>
  <c r="E69" i="6"/>
  <c r="J68" i="6"/>
  <c r="E68" i="6"/>
  <c r="J67" i="6"/>
  <c r="E67" i="6"/>
  <c r="J62" i="6"/>
  <c r="E62" i="6"/>
  <c r="J61" i="6"/>
  <c r="E61" i="6"/>
  <c r="J60" i="6"/>
  <c r="E60" i="6"/>
  <c r="J59" i="6"/>
  <c r="E59" i="6"/>
  <c r="J58" i="6"/>
  <c r="E58" i="6"/>
  <c r="J57" i="6"/>
  <c r="E57" i="6"/>
  <c r="J56" i="6"/>
  <c r="E56" i="6"/>
  <c r="J55" i="6"/>
  <c r="E55" i="6"/>
  <c r="J54" i="6"/>
  <c r="E54" i="6"/>
  <c r="J53" i="6"/>
  <c r="E53" i="6"/>
  <c r="J52" i="6"/>
  <c r="E52" i="6"/>
  <c r="J51" i="6"/>
  <c r="E51" i="6"/>
  <c r="J46" i="6"/>
  <c r="E46" i="6"/>
  <c r="J45" i="6"/>
  <c r="E45" i="6"/>
  <c r="J44" i="6"/>
  <c r="E44" i="6"/>
  <c r="J43" i="6"/>
  <c r="E43" i="6"/>
  <c r="J42" i="6"/>
  <c r="E42" i="6"/>
  <c r="J41" i="6"/>
  <c r="E41" i="6"/>
  <c r="J40" i="6"/>
  <c r="E40" i="6"/>
  <c r="J39" i="6"/>
  <c r="E39" i="6"/>
  <c r="J38" i="6"/>
  <c r="E38" i="6"/>
  <c r="J37" i="6"/>
  <c r="E37" i="6"/>
  <c r="J36" i="6"/>
  <c r="E36" i="6"/>
  <c r="J35" i="6"/>
  <c r="E35" i="6"/>
  <c r="J30" i="6"/>
  <c r="E30" i="6"/>
  <c r="J29" i="6"/>
  <c r="E29" i="6"/>
  <c r="J28" i="6"/>
  <c r="E28" i="6"/>
  <c r="J27" i="6"/>
  <c r="E27" i="6"/>
  <c r="J26" i="6"/>
  <c r="E26" i="6"/>
  <c r="J25" i="6"/>
  <c r="E25" i="6"/>
  <c r="J24" i="6"/>
  <c r="E24" i="6"/>
  <c r="J23" i="6"/>
  <c r="E23" i="6"/>
  <c r="J22" i="6"/>
  <c r="E22" i="6"/>
  <c r="J21" i="6"/>
  <c r="E21" i="6"/>
  <c r="J20" i="6"/>
  <c r="E20" i="6"/>
  <c r="J19" i="6"/>
  <c r="E19" i="6"/>
  <c r="J14" i="6"/>
  <c r="E14" i="6"/>
  <c r="J13" i="6"/>
  <c r="E13" i="6"/>
  <c r="J12" i="6"/>
  <c r="E12" i="6"/>
  <c r="J11" i="6"/>
  <c r="E11" i="6"/>
  <c r="J10" i="6"/>
  <c r="E10" i="6"/>
  <c r="J9" i="6"/>
  <c r="E9" i="6"/>
  <c r="J8" i="6"/>
  <c r="E8" i="6"/>
  <c r="J7" i="6"/>
  <c r="E7" i="6"/>
  <c r="J6" i="6"/>
  <c r="E6" i="6"/>
  <c r="J5" i="6"/>
  <c r="E5" i="6"/>
  <c r="J4" i="6"/>
  <c r="E4" i="6"/>
  <c r="J3" i="6"/>
  <c r="E3" i="6"/>
  <c r="W26" i="4"/>
  <c r="V26" i="4"/>
  <c r="U26" i="4"/>
  <c r="T26" i="4"/>
  <c r="S26" i="4"/>
  <c r="R26" i="4"/>
  <c r="O26" i="4"/>
  <c r="N26" i="4"/>
  <c r="M26" i="4"/>
  <c r="L26" i="4"/>
  <c r="K26" i="4"/>
  <c r="J26" i="4"/>
  <c r="G26" i="4"/>
  <c r="F26" i="4"/>
  <c r="E26" i="4"/>
  <c r="D26" i="4"/>
  <c r="C26" i="4"/>
  <c r="B26" i="4"/>
  <c r="AB36" i="3"/>
  <c r="AA36" i="3"/>
  <c r="Z36" i="3"/>
  <c r="BD35" i="3"/>
  <c r="BC35" i="3"/>
  <c r="BB35" i="3"/>
  <c r="X28" i="3"/>
  <c r="T28" i="3"/>
  <c r="P28" i="3"/>
  <c r="L28" i="3"/>
  <c r="H28" i="3"/>
  <c r="D28" i="3"/>
  <c r="AZ27" i="3"/>
  <c r="AV27" i="3"/>
  <c r="AR27" i="3"/>
  <c r="AN27" i="3"/>
  <c r="AJ27" i="3"/>
  <c r="AF27" i="3"/>
  <c r="X27" i="3"/>
  <c r="T27" i="3"/>
  <c r="P27" i="3"/>
  <c r="L27" i="3"/>
  <c r="H27" i="3"/>
  <c r="D27" i="3"/>
  <c r="AZ26" i="3"/>
  <c r="AV26" i="3"/>
  <c r="AR26" i="3"/>
  <c r="AN26" i="3"/>
  <c r="AJ26" i="3"/>
  <c r="AF26" i="3"/>
  <c r="X26" i="3"/>
  <c r="T26" i="3"/>
  <c r="P26" i="3"/>
  <c r="L26" i="3"/>
  <c r="H26" i="3"/>
  <c r="D26" i="3"/>
  <c r="AZ25" i="3"/>
  <c r="AV25" i="3"/>
  <c r="AR25" i="3"/>
  <c r="AN25" i="3"/>
  <c r="AJ25" i="3"/>
  <c r="AF25" i="3"/>
  <c r="X25" i="3"/>
  <c r="T25" i="3"/>
  <c r="P25" i="3"/>
  <c r="L25" i="3"/>
  <c r="H25" i="3"/>
  <c r="D25" i="3"/>
  <c r="AZ24" i="3"/>
  <c r="AV24" i="3"/>
  <c r="AR24" i="3"/>
  <c r="AN24" i="3"/>
  <c r="AJ24" i="3"/>
  <c r="AF24" i="3"/>
  <c r="X24" i="3"/>
  <c r="T24" i="3"/>
  <c r="P24" i="3"/>
  <c r="L24" i="3"/>
  <c r="H24" i="3"/>
  <c r="D24" i="3"/>
  <c r="AZ23" i="3"/>
  <c r="AV23" i="3"/>
  <c r="AR23" i="3"/>
  <c r="AN23" i="3"/>
  <c r="AJ23" i="3"/>
  <c r="AF23" i="3"/>
  <c r="T23" i="3"/>
  <c r="AZ22" i="3"/>
  <c r="AV22" i="3"/>
  <c r="AR22" i="3"/>
  <c r="AN22" i="3"/>
  <c r="AJ22" i="3"/>
  <c r="AF22" i="3"/>
  <c r="X22" i="3"/>
  <c r="T22" i="3"/>
  <c r="P22" i="3"/>
  <c r="L22" i="3"/>
  <c r="H22" i="3"/>
  <c r="D22" i="3"/>
  <c r="AZ21" i="3"/>
  <c r="AV21" i="3"/>
  <c r="AR21" i="3"/>
  <c r="AN21" i="3"/>
  <c r="AJ21" i="3"/>
  <c r="AF21" i="3"/>
  <c r="X21" i="3"/>
  <c r="T21" i="3"/>
  <c r="P21" i="3"/>
  <c r="L21" i="3"/>
  <c r="H21" i="3"/>
  <c r="D21" i="3"/>
  <c r="AZ20" i="3"/>
  <c r="AV20" i="3"/>
  <c r="AR20" i="3"/>
  <c r="AN20" i="3"/>
  <c r="AJ20" i="3"/>
  <c r="AF20" i="3"/>
  <c r="X20" i="3"/>
  <c r="T20" i="3"/>
  <c r="P20" i="3"/>
  <c r="L20" i="3"/>
  <c r="H20" i="3"/>
  <c r="D20" i="3"/>
  <c r="AZ19" i="3"/>
  <c r="AV19" i="3"/>
  <c r="AR19" i="3"/>
  <c r="AN19" i="3"/>
  <c r="AJ19" i="3"/>
  <c r="AF19" i="3"/>
  <c r="X19" i="3"/>
  <c r="T19" i="3"/>
  <c r="P19" i="3"/>
  <c r="L19" i="3"/>
  <c r="H19" i="3"/>
  <c r="D19" i="3"/>
  <c r="AZ18" i="3"/>
  <c r="AV18" i="3"/>
  <c r="AR18" i="3"/>
  <c r="AN18" i="3"/>
  <c r="AJ18" i="3"/>
  <c r="AF18" i="3"/>
  <c r="AZ17" i="3"/>
  <c r="AV17" i="3"/>
  <c r="AR17" i="3"/>
  <c r="AN17" i="3"/>
  <c r="AJ17" i="3"/>
  <c r="AF17" i="3"/>
  <c r="AZ16" i="3"/>
  <c r="AV16" i="3"/>
  <c r="AR16" i="3"/>
  <c r="AN16" i="3"/>
  <c r="AJ16" i="3"/>
  <c r="AF16" i="3"/>
  <c r="X16" i="3"/>
  <c r="T16" i="3"/>
  <c r="P16" i="3"/>
  <c r="L16" i="3"/>
  <c r="H16" i="3"/>
  <c r="D16" i="3"/>
  <c r="AZ15" i="3"/>
  <c r="AV15" i="3"/>
  <c r="AR15" i="3"/>
  <c r="AN15" i="3"/>
  <c r="AJ15" i="3"/>
  <c r="AF15" i="3"/>
  <c r="X15" i="3"/>
  <c r="T15" i="3"/>
  <c r="P15" i="3"/>
  <c r="L15" i="3"/>
  <c r="H15" i="3"/>
  <c r="D15" i="3"/>
  <c r="AZ14" i="3"/>
  <c r="AV14" i="3"/>
  <c r="AR14" i="3"/>
  <c r="AN14" i="3"/>
  <c r="AJ14" i="3"/>
  <c r="AF14" i="3"/>
  <c r="X14" i="3"/>
  <c r="T14" i="3"/>
  <c r="P14" i="3"/>
  <c r="L14" i="3"/>
  <c r="H14" i="3"/>
  <c r="D14" i="3"/>
  <c r="X13" i="3"/>
  <c r="T13" i="3"/>
  <c r="P13" i="3"/>
  <c r="L13" i="3"/>
  <c r="H13" i="3"/>
  <c r="D13" i="3"/>
  <c r="X12" i="3"/>
  <c r="T12" i="3"/>
  <c r="P12" i="3"/>
  <c r="L12" i="3"/>
  <c r="H12" i="3"/>
  <c r="D12" i="3"/>
  <c r="X11" i="3"/>
  <c r="T11" i="3"/>
  <c r="P11" i="3"/>
  <c r="L11" i="3"/>
  <c r="H11" i="3"/>
  <c r="D11" i="3"/>
  <c r="AZ10" i="3"/>
  <c r="AV10" i="3"/>
  <c r="AR10" i="3"/>
  <c r="AN10" i="3"/>
  <c r="AJ10" i="3"/>
  <c r="AF10" i="3"/>
  <c r="X10" i="3"/>
  <c r="T10" i="3"/>
  <c r="P10" i="3"/>
  <c r="L10" i="3"/>
  <c r="H10" i="3"/>
  <c r="D10" i="3"/>
  <c r="X9" i="3"/>
  <c r="T9" i="3"/>
  <c r="P9" i="3"/>
  <c r="L9" i="3"/>
  <c r="H9" i="3"/>
  <c r="D9" i="3"/>
  <c r="AZ8" i="3"/>
  <c r="AV8" i="3"/>
  <c r="AR8" i="3"/>
  <c r="AN8" i="3"/>
  <c r="AJ8" i="3"/>
  <c r="AF8" i="3"/>
  <c r="X8" i="3"/>
  <c r="T8" i="3"/>
  <c r="P8" i="3"/>
  <c r="L8" i="3"/>
  <c r="H8" i="3"/>
  <c r="D8" i="3"/>
  <c r="AZ7" i="3"/>
  <c r="AV7" i="3"/>
  <c r="AR7" i="3"/>
  <c r="AN7" i="3"/>
  <c r="AJ7" i="3"/>
  <c r="AF7" i="3"/>
  <c r="X7" i="3"/>
  <c r="T7" i="3"/>
  <c r="P7" i="3"/>
  <c r="L7" i="3"/>
  <c r="H7" i="3"/>
  <c r="D7" i="3"/>
  <c r="AZ6" i="3"/>
  <c r="AV6" i="3"/>
  <c r="AR6" i="3"/>
  <c r="AN6" i="3"/>
  <c r="AJ6" i="3"/>
  <c r="AF6" i="3"/>
  <c r="X6" i="3"/>
  <c r="T6" i="3"/>
  <c r="P6" i="3"/>
  <c r="L6" i="3"/>
  <c r="H6" i="3"/>
  <c r="D6" i="3"/>
  <c r="AZ5" i="3"/>
  <c r="AV5" i="3"/>
  <c r="AR5" i="3"/>
  <c r="AN5" i="3"/>
  <c r="AJ5" i="3"/>
  <c r="AF5" i="3"/>
  <c r="X5" i="3"/>
  <c r="T5" i="3"/>
  <c r="P5" i="3"/>
  <c r="L5" i="3"/>
  <c r="H5" i="3"/>
  <c r="D5" i="3"/>
  <c r="J12" i="1"/>
  <c r="E12" i="1"/>
  <c r="J11" i="1"/>
  <c r="E11" i="1"/>
  <c r="J10" i="1"/>
  <c r="E10" i="1"/>
  <c r="J9" i="1"/>
  <c r="E9" i="1"/>
  <c r="J8" i="1"/>
  <c r="E8" i="1"/>
  <c r="J7" i="1"/>
  <c r="E7" i="1"/>
  <c r="J6" i="1"/>
  <c r="E6" i="1"/>
  <c r="J5" i="1"/>
  <c r="E5" i="1"/>
  <c r="J4" i="1"/>
  <c r="E4" i="1"/>
  <c r="J3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3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ID#AAABN6_fuxU
    (2024-05-23 09:55:24)
Water leakage
	-Nayira Abass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dGCANszTslpLgBtwX2d6rWjRLA=="/>
    </ext>
  </extLst>
</comments>
</file>

<file path=xl/sharedStrings.xml><?xml version="1.0" encoding="utf-8"?>
<sst xmlns="http://schemas.openxmlformats.org/spreadsheetml/2006/main" count="766" uniqueCount="210">
  <si>
    <t xml:space="preserve">EXP 1 </t>
  </si>
  <si>
    <t xml:space="preserve">Date </t>
  </si>
  <si>
    <t xml:space="preserve">plant NO. </t>
  </si>
  <si>
    <t>plant height  (cm)</t>
  </si>
  <si>
    <t>shoot length (cm)</t>
  </si>
  <si>
    <t>root length (cm)</t>
  </si>
  <si>
    <t>head diameter (cm)</t>
  </si>
  <si>
    <t>stem diameter  (cm)</t>
  </si>
  <si>
    <t>total weight (g)</t>
  </si>
  <si>
    <t>shoot weight (g)</t>
  </si>
  <si>
    <t>root weight (g)</t>
  </si>
  <si>
    <t>no. of leaves</t>
  </si>
  <si>
    <t>4*2</t>
  </si>
  <si>
    <t>3.5*3</t>
  </si>
  <si>
    <t>3.5*2.5</t>
  </si>
  <si>
    <t>3*3</t>
  </si>
  <si>
    <t>2*3.5</t>
  </si>
  <si>
    <t>4*3.5</t>
  </si>
  <si>
    <t>3.5*2</t>
  </si>
  <si>
    <t>Replicate 1 T1</t>
  </si>
  <si>
    <t xml:space="preserve">Tme </t>
  </si>
  <si>
    <t>pH</t>
  </si>
  <si>
    <t xml:space="preserve">EC </t>
  </si>
  <si>
    <t xml:space="preserve">TDS </t>
  </si>
  <si>
    <t xml:space="preserve">Water temp. </t>
  </si>
  <si>
    <t>RH %</t>
  </si>
  <si>
    <t>Air temp. C</t>
  </si>
  <si>
    <t>CO2 PPM</t>
  </si>
  <si>
    <t xml:space="preserve"> </t>
  </si>
  <si>
    <t xml:space="preserve">Air parameters </t>
  </si>
  <si>
    <t>Replicate 2 T1</t>
  </si>
  <si>
    <t>Replicate 3 T1</t>
  </si>
  <si>
    <t>Replicate 1 T2</t>
  </si>
  <si>
    <t>Replicate 2 T2</t>
  </si>
  <si>
    <t>Replicate 3 T2</t>
  </si>
  <si>
    <t>Lux</t>
  </si>
  <si>
    <t>RH%</t>
  </si>
  <si>
    <t xml:space="preserve">Air temp. </t>
  </si>
  <si>
    <t>-</t>
  </si>
  <si>
    <t>13/3/2024</t>
  </si>
  <si>
    <t>14/3/2024</t>
  </si>
  <si>
    <t>15/3/2024</t>
  </si>
  <si>
    <t>16/3/2024</t>
  </si>
  <si>
    <t>17/3/2024</t>
  </si>
  <si>
    <t>18/3/2024</t>
  </si>
  <si>
    <t>19/3/2024</t>
  </si>
  <si>
    <t>20/3/2024</t>
  </si>
  <si>
    <t>21/3/2024</t>
  </si>
  <si>
    <t>22/3/2024</t>
  </si>
  <si>
    <t>23/3/2024</t>
  </si>
  <si>
    <t xml:space="preserve"> -</t>
  </si>
  <si>
    <t>24/3/2024</t>
  </si>
  <si>
    <t>25/3/2024</t>
  </si>
  <si>
    <t>26/3/2024</t>
  </si>
  <si>
    <t>27/3/2024</t>
  </si>
  <si>
    <t>28/3/2024</t>
  </si>
  <si>
    <t>29/3/2024</t>
  </si>
  <si>
    <t>30/3/2024</t>
  </si>
  <si>
    <t>31/3/2024</t>
  </si>
  <si>
    <t>Nutrient solution addition (A+B) ml.</t>
  </si>
  <si>
    <t>Acid consumption (ml)</t>
  </si>
  <si>
    <t>Water consumption L.</t>
  </si>
  <si>
    <t xml:space="preserve">Total </t>
  </si>
  <si>
    <t>day 3</t>
  </si>
  <si>
    <t>day 6</t>
  </si>
  <si>
    <t>Day 9</t>
  </si>
  <si>
    <t>Day 12</t>
  </si>
  <si>
    <t xml:space="preserve">Day 13 </t>
  </si>
  <si>
    <t>Replicate 1</t>
  </si>
  <si>
    <t>Plant no :</t>
  </si>
  <si>
    <t>Head diameter</t>
  </si>
  <si>
    <t>4*4</t>
  </si>
  <si>
    <t>5*5</t>
  </si>
  <si>
    <t>9*12</t>
  </si>
  <si>
    <t>11*12</t>
  </si>
  <si>
    <t>16*17</t>
  </si>
  <si>
    <t>5*4</t>
  </si>
  <si>
    <t>12*10</t>
  </si>
  <si>
    <t>13*12.5</t>
  </si>
  <si>
    <t>15*16</t>
  </si>
  <si>
    <t>3*3.5</t>
  </si>
  <si>
    <t>8.5*8.5</t>
  </si>
  <si>
    <t>11*11.5</t>
  </si>
  <si>
    <t>14*15</t>
  </si>
  <si>
    <t>5*3.5</t>
  </si>
  <si>
    <t>13*13</t>
  </si>
  <si>
    <t>15*20</t>
  </si>
  <si>
    <t>9.5*10.5</t>
  </si>
  <si>
    <t>13*12</t>
  </si>
  <si>
    <t>17*16</t>
  </si>
  <si>
    <t>3.5*3.5</t>
  </si>
  <si>
    <t>2*2.5</t>
  </si>
  <si>
    <t>Replicate 2</t>
  </si>
  <si>
    <t>5*4.5</t>
  </si>
  <si>
    <t>10*12</t>
  </si>
  <si>
    <t>11*14</t>
  </si>
  <si>
    <t>16*15</t>
  </si>
  <si>
    <t>4*3</t>
  </si>
  <si>
    <t>4.5*3.5</t>
  </si>
  <si>
    <t>11*9</t>
  </si>
  <si>
    <t>7*8</t>
  </si>
  <si>
    <t>9*8.5</t>
  </si>
  <si>
    <t>13*11</t>
  </si>
  <si>
    <t>5.5*4</t>
  </si>
  <si>
    <t>9*11</t>
  </si>
  <si>
    <t>12*9</t>
  </si>
  <si>
    <t>16*16</t>
  </si>
  <si>
    <t>5*3</t>
  </si>
  <si>
    <t>7*10</t>
  </si>
  <si>
    <t>10*11</t>
  </si>
  <si>
    <t>15*17</t>
  </si>
  <si>
    <t>Replicate 3</t>
  </si>
  <si>
    <t>2*2</t>
  </si>
  <si>
    <t>6*8</t>
  </si>
  <si>
    <t>9*10</t>
  </si>
  <si>
    <t>10*10</t>
  </si>
  <si>
    <t>12*8</t>
  </si>
  <si>
    <t>14*16</t>
  </si>
  <si>
    <t>3*4</t>
  </si>
  <si>
    <t>8*8</t>
  </si>
  <si>
    <t>8*10</t>
  </si>
  <si>
    <t>13*16</t>
  </si>
  <si>
    <t>12*13</t>
  </si>
  <si>
    <t>2*3</t>
  </si>
  <si>
    <t>Replicate 4</t>
  </si>
  <si>
    <t>5*6</t>
  </si>
  <si>
    <t>14*13</t>
  </si>
  <si>
    <t>17*21</t>
  </si>
  <si>
    <t>11*12.5</t>
  </si>
  <si>
    <t>12*15</t>
  </si>
  <si>
    <t>9*8</t>
  </si>
  <si>
    <t>11*11</t>
  </si>
  <si>
    <t>12*11</t>
  </si>
  <si>
    <t>16*19</t>
  </si>
  <si>
    <t>12*12</t>
  </si>
  <si>
    <t>13*14</t>
  </si>
  <si>
    <t>Replicate 5</t>
  </si>
  <si>
    <t>4.5*4</t>
  </si>
  <si>
    <t>4.5*5</t>
  </si>
  <si>
    <t>16*18</t>
  </si>
  <si>
    <t>3*4.5</t>
  </si>
  <si>
    <t>9*9.5</t>
  </si>
  <si>
    <t>18*19</t>
  </si>
  <si>
    <t>4*5.5</t>
  </si>
  <si>
    <t>8*11</t>
  </si>
  <si>
    <t>15*15</t>
  </si>
  <si>
    <t>3.5*4</t>
  </si>
  <si>
    <t>8*9</t>
  </si>
  <si>
    <t>4*5</t>
  </si>
  <si>
    <t>5*5.5</t>
  </si>
  <si>
    <t>Replicate 6</t>
  </si>
  <si>
    <t>11*9.5</t>
  </si>
  <si>
    <t>9*7</t>
  </si>
  <si>
    <t>10*8</t>
  </si>
  <si>
    <t>9*10.5</t>
  </si>
  <si>
    <t>4*6</t>
  </si>
  <si>
    <t>14*11</t>
  </si>
  <si>
    <t>4*4.5</t>
  </si>
  <si>
    <t>R1-T1</t>
  </si>
  <si>
    <t>Plant No.</t>
  </si>
  <si>
    <t>Total weight (g)</t>
  </si>
  <si>
    <t>Plant height (cm)</t>
  </si>
  <si>
    <t>Shoot length (cm)</t>
  </si>
  <si>
    <t>Root length (cm)</t>
  </si>
  <si>
    <t>Head diameter (cm)</t>
  </si>
  <si>
    <t>Stem diameter (cm)</t>
  </si>
  <si>
    <t>Shoot weight before removing wilted leaves (g)</t>
  </si>
  <si>
    <t>shoot weight after removing wilted leaves(g)</t>
  </si>
  <si>
    <t>Root weight (g)</t>
  </si>
  <si>
    <t>No. of leaves</t>
  </si>
  <si>
    <t>24*27</t>
  </si>
  <si>
    <t>27*27</t>
  </si>
  <si>
    <t>26*26.5</t>
  </si>
  <si>
    <t>26*26</t>
  </si>
  <si>
    <t>29*26</t>
  </si>
  <si>
    <t>23*23.5</t>
  </si>
  <si>
    <t>25*27</t>
  </si>
  <si>
    <t>25*25</t>
  </si>
  <si>
    <t>23*24</t>
  </si>
  <si>
    <t>25*23</t>
  </si>
  <si>
    <t>R1-T2</t>
  </si>
  <si>
    <t>25*26</t>
  </si>
  <si>
    <t>27*29</t>
  </si>
  <si>
    <t>26*28</t>
  </si>
  <si>
    <t>27*25</t>
  </si>
  <si>
    <t>29*27</t>
  </si>
  <si>
    <t>R1-T3</t>
  </si>
  <si>
    <t>24*25</t>
  </si>
  <si>
    <t>27*28</t>
  </si>
  <si>
    <t>28*27</t>
  </si>
  <si>
    <t>29*30</t>
  </si>
  <si>
    <t>27*26</t>
  </si>
  <si>
    <t>29*29</t>
  </si>
  <si>
    <t>28*28</t>
  </si>
  <si>
    <t>24*24</t>
  </si>
  <si>
    <t>R2-T1</t>
  </si>
  <si>
    <t>24*26</t>
  </si>
  <si>
    <t>29*28</t>
  </si>
  <si>
    <t>27*27.5</t>
  </si>
  <si>
    <t>25*24</t>
  </si>
  <si>
    <t>26*27</t>
  </si>
  <si>
    <t>R2-T2</t>
  </si>
  <si>
    <t>29*25</t>
  </si>
  <si>
    <t>24*29</t>
  </si>
  <si>
    <t>27*24</t>
  </si>
  <si>
    <t>R2-T3</t>
  </si>
  <si>
    <t>26*25</t>
  </si>
  <si>
    <t>28*25</t>
  </si>
  <si>
    <t>28*26</t>
  </si>
  <si>
    <t>28*30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</si>
</sst>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\-d\-yyyy"/>
    <numFmt numFmtId="165" formatCode="mmm\ d\,\ yyyy"/>
    <numFmt numFmtId="166" formatCode="m/d/yyyy"/>
    <numFmt numFmtId="167" formatCode="m/d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i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rgb="FFFFFFFF"/>
      <name val="Arial"/>
    </font>
    <font>
      <sz val="9"/>
      <color rgb="FF000000"/>
      <name val="Open Sans"/>
    </font>
    <font>
      <sz val="12"/>
      <color rgb="FF000000"/>
      <name val="Calibri"/>
    </font>
    <font>
      <b/>
      <sz val="13"/>
      <color theme="1"/>
      <name val="Arial"/>
    </font>
    <font>
      <b/>
      <sz val="15"/>
      <color rgb="FFFFFFFF"/>
      <name val="Arial"/>
    </font>
    <font>
      <sz val="12"/>
      <color theme="1"/>
      <name val="Arial"/>
    </font>
    <font>
      <sz val="10"/>
      <color theme="1"/>
      <name val="Calibri"/>
    </font>
    <font>
      <b/>
      <sz val="10"/>
      <color rgb="FFFFFFFF"/>
      <name val="Calibri"/>
    </font>
    <font>
      <b/>
      <sz val="9"/>
      <color theme="1"/>
      <name val="Calibri"/>
    </font>
    <font>
      <b/>
      <sz val="11"/>
      <color theme="1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674EA7"/>
        <bgColor rgb="FF674EA7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538135"/>
        <bgColor rgb="FF538135"/>
      </patternFill>
    </fill>
    <fill>
      <patternFill patternType="solid">
        <fgColor rgb="FFFBE4D5"/>
        <bgColor rgb="FFFBE4D5"/>
      </patternFill>
    </fill>
    <fill>
      <patternFill patternType="solid">
        <fgColor rgb="FF990000"/>
        <bgColor rgb="FF990000"/>
      </patternFill>
    </fill>
    <fill>
      <patternFill patternType="solid">
        <fgColor rgb="FF0B5394"/>
        <bgColor rgb="FF0B5394"/>
      </patternFill>
    </fill>
    <fill>
      <patternFill patternType="solid">
        <fgColor rgb="FFBF9000"/>
        <bgColor rgb="FFBF9000"/>
      </patternFill>
    </fill>
    <fill>
      <patternFill patternType="solid">
        <fgColor rgb="FFFF9900"/>
        <bgColor rgb="FFFF9900"/>
      </patternFill>
    </fill>
    <fill>
      <patternFill patternType="solid">
        <fgColor rgb="FF351C75"/>
        <bgColor rgb="FF351C75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EE2E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0" xfId="0" applyFont="1" applyFill="1"/>
    <xf numFmtId="0" fontId="1" fillId="3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0" borderId="0" xfId="0" applyFont="1"/>
    <xf numFmtId="166" fontId="1" fillId="3" borderId="0" xfId="0" applyNumberFormat="1" applyFont="1" applyFill="1" applyAlignment="1">
      <alignment horizontal="center"/>
    </xf>
    <xf numFmtId="19" fontId="1" fillId="3" borderId="0" xfId="0" applyNumberFormat="1" applyFont="1" applyFill="1" applyAlignment="1">
      <alignment horizontal="center"/>
    </xf>
    <xf numFmtId="165" fontId="6" fillId="3" borderId="8" xfId="0" applyNumberFormat="1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19" fontId="6" fillId="3" borderId="8" xfId="0" applyNumberFormat="1" applyFont="1" applyFill="1" applyBorder="1" applyAlignment="1">
      <alignment horizontal="center"/>
    </xf>
    <xf numFmtId="166" fontId="7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9" fontId="7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right"/>
    </xf>
    <xf numFmtId="0" fontId="1" fillId="7" borderId="0" xfId="0" applyFont="1" applyFill="1" applyAlignment="1">
      <alignment horizontal="center"/>
    </xf>
    <xf numFmtId="0" fontId="1" fillId="0" borderId="7" xfId="0" applyFont="1" applyBorder="1" applyAlignment="1">
      <alignment horizontal="center" vertical="center"/>
    </xf>
    <xf numFmtId="166" fontId="1" fillId="7" borderId="7" xfId="0" applyNumberFormat="1" applyFont="1" applyFill="1" applyBorder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1" fillId="7" borderId="7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0" xfId="0" applyFont="1" applyFill="1"/>
    <xf numFmtId="166" fontId="1" fillId="7" borderId="0" xfId="0" applyNumberFormat="1" applyFont="1" applyFill="1" applyAlignment="1">
      <alignment horizontal="center"/>
    </xf>
    <xf numFmtId="0" fontId="1" fillId="0" borderId="7" xfId="0" applyFont="1" applyBorder="1"/>
    <xf numFmtId="0" fontId="1" fillId="15" borderId="7" xfId="0" applyFont="1" applyFill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3" fillId="0" borderId="4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/>
    </xf>
    <xf numFmtId="0" fontId="14" fillId="18" borderId="4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4" fillId="18" borderId="2" xfId="0" applyFont="1" applyFill="1" applyBorder="1" applyAlignment="1">
      <alignment horizontal="center" vertical="top"/>
    </xf>
    <xf numFmtId="167" fontId="1" fillId="0" borderId="2" xfId="0" applyNumberFormat="1" applyFont="1" applyBorder="1" applyAlignment="1">
      <alignment horizontal="center" vertical="top"/>
    </xf>
    <xf numFmtId="0" fontId="4" fillId="6" borderId="2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4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4" borderId="6" xfId="0" applyFont="1" applyFill="1" applyBorder="1" applyAlignment="1">
      <alignment horizontal="center"/>
    </xf>
    <xf numFmtId="0" fontId="3" fillId="0" borderId="5" xfId="0" applyFont="1" applyBorder="1"/>
    <xf numFmtId="0" fontId="5" fillId="5" borderId="0" xfId="0" applyFont="1" applyFill="1" applyAlignment="1">
      <alignment horizontal="center"/>
    </xf>
    <xf numFmtId="0" fontId="0" fillId="0" borderId="0" xfId="0"/>
    <xf numFmtId="0" fontId="1" fillId="13" borderId="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8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18" fontId="1" fillId="9" borderId="0" xfId="0" applyNumberFormat="1" applyFont="1" applyFill="1" applyAlignment="1">
      <alignment horizontal="center" vertical="center"/>
    </xf>
    <xf numFmtId="18" fontId="9" fillId="10" borderId="0" xfId="0" applyNumberFormat="1" applyFont="1" applyFill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0" fillId="15" borderId="6" xfId="0" applyFont="1" applyFill="1" applyBorder="1" applyAlignment="1">
      <alignment horizontal="center"/>
    </xf>
    <xf numFmtId="0" fontId="3" fillId="0" borderId="10" xfId="0" applyFont="1" applyBorder="1"/>
    <xf numFmtId="0" fontId="1" fillId="12" borderId="9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/>
    </xf>
    <xf numFmtId="0" fontId="12" fillId="17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1" fillId="0" borderId="11" xfId="0" applyFont="1" applyBorder="1" applyAlignment="1">
      <alignment horizontal="left" vertical="top"/>
    </xf>
    <xf numFmtId="0" fontId="3" fillId="0" borderId="2" xfId="0" applyFont="1" applyBorder="1"/>
    <xf numFmtId="0" fontId="11" fillId="0" borderId="1" xfId="0" applyFont="1" applyBorder="1" applyAlignment="1">
      <alignment horizontal="left" vertical="top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workbookViewId="0">
      <selection activeCell="H12" sqref="H12"/>
    </sheetView>
  </sheetViews>
  <sheetFormatPr baseColWidth="10" defaultColWidth="12.6640625" defaultRowHeight="15" customHeight="1" x14ac:dyDescent="0.15"/>
  <cols>
    <col min="1" max="2" width="12.6640625" customWidth="1"/>
    <col min="3" max="3" width="14.83203125" customWidth="1"/>
    <col min="4" max="4" width="15" customWidth="1"/>
    <col min="5" max="5" width="13.6640625" customWidth="1"/>
    <col min="6" max="6" width="16.1640625" customWidth="1"/>
    <col min="7" max="7" width="16.6640625" customWidth="1"/>
    <col min="8" max="8" width="12.83203125" customWidth="1"/>
    <col min="9" max="9" width="13.83203125" customWidth="1"/>
    <col min="11" max="11" width="12" bestFit="1" customWidth="1"/>
  </cols>
  <sheetData>
    <row r="1" spans="1:11" ht="15.75" customHeight="1" x14ac:dyDescent="0.15">
      <c r="A1" s="1"/>
      <c r="B1" s="48" t="s">
        <v>0</v>
      </c>
      <c r="C1" s="49"/>
      <c r="D1" s="49"/>
      <c r="E1" s="49"/>
      <c r="F1" s="49"/>
      <c r="G1" s="49"/>
      <c r="H1" s="49"/>
      <c r="I1" s="49"/>
      <c r="J1" s="49"/>
      <c r="K1" s="1"/>
    </row>
    <row r="2" spans="1:11" ht="15.7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</row>
    <row r="3" spans="1:11" ht="15.75" customHeight="1" x14ac:dyDescent="0.15">
      <c r="A3" s="50">
        <v>45538</v>
      </c>
      <c r="B3" s="4">
        <v>1</v>
      </c>
      <c r="C3" s="5">
        <v>9</v>
      </c>
      <c r="D3" s="5">
        <v>2</v>
      </c>
      <c r="E3" s="5">
        <f t="shared" ref="E3:E12" si="0">C3-D3</f>
        <v>7</v>
      </c>
      <c r="F3" s="5" t="s">
        <v>12</v>
      </c>
      <c r="G3" s="5">
        <v>0.1</v>
      </c>
      <c r="H3" s="5">
        <v>1.3</v>
      </c>
      <c r="I3" s="5">
        <v>0.5</v>
      </c>
      <c r="J3" s="5">
        <f t="shared" ref="J3:J12" si="1">H3-I3</f>
        <v>0.8</v>
      </c>
      <c r="K3" s="5">
        <v>5</v>
      </c>
    </row>
    <row r="4" spans="1:11" ht="15.75" customHeight="1" x14ac:dyDescent="0.15">
      <c r="A4" s="51"/>
      <c r="B4" s="4">
        <v>2</v>
      </c>
      <c r="C4" s="5">
        <v>10</v>
      </c>
      <c r="D4" s="5">
        <v>3</v>
      </c>
      <c r="E4" s="5">
        <f t="shared" si="0"/>
        <v>7</v>
      </c>
      <c r="F4" s="5" t="s">
        <v>13</v>
      </c>
      <c r="G4" s="5">
        <v>0.1</v>
      </c>
      <c r="H4" s="5">
        <v>1.2</v>
      </c>
      <c r="I4" s="5">
        <v>0.55000000000000004</v>
      </c>
      <c r="J4" s="5">
        <f t="shared" si="1"/>
        <v>0.64999999999999991</v>
      </c>
      <c r="K4" s="5">
        <v>5</v>
      </c>
    </row>
    <row r="5" spans="1:11" ht="15.75" customHeight="1" x14ac:dyDescent="0.15">
      <c r="A5" s="51"/>
      <c r="B5" s="4">
        <v>3</v>
      </c>
      <c r="C5" s="5">
        <v>10</v>
      </c>
      <c r="D5" s="5">
        <v>3</v>
      </c>
      <c r="E5" s="5">
        <f t="shared" si="0"/>
        <v>7</v>
      </c>
      <c r="F5" s="5" t="s">
        <v>14</v>
      </c>
      <c r="G5" s="5">
        <v>0.1</v>
      </c>
      <c r="H5" s="5">
        <v>1.1000000000000001</v>
      </c>
      <c r="I5" s="5">
        <v>0.53</v>
      </c>
      <c r="J5" s="5">
        <f t="shared" si="1"/>
        <v>0.57000000000000006</v>
      </c>
      <c r="K5" s="5">
        <v>5</v>
      </c>
    </row>
    <row r="6" spans="1:11" ht="15.75" customHeight="1" x14ac:dyDescent="0.15">
      <c r="A6" s="51"/>
      <c r="B6" s="4">
        <v>4</v>
      </c>
      <c r="C6" s="5">
        <v>9</v>
      </c>
      <c r="D6" s="5">
        <v>2.5</v>
      </c>
      <c r="E6" s="5">
        <f t="shared" si="0"/>
        <v>6.5</v>
      </c>
      <c r="F6" s="5" t="s">
        <v>15</v>
      </c>
      <c r="G6" s="5">
        <v>0.1</v>
      </c>
      <c r="H6" s="5">
        <v>1.1399999999999999</v>
      </c>
      <c r="I6" s="5">
        <v>0.45</v>
      </c>
      <c r="J6" s="5">
        <f t="shared" si="1"/>
        <v>0.69</v>
      </c>
      <c r="K6" s="5">
        <v>4</v>
      </c>
    </row>
    <row r="7" spans="1:11" ht="15.75" customHeight="1" x14ac:dyDescent="0.15">
      <c r="A7" s="51"/>
      <c r="B7" s="4">
        <v>5</v>
      </c>
      <c r="C7" s="5">
        <v>10</v>
      </c>
      <c r="D7" s="5">
        <v>3</v>
      </c>
      <c r="E7" s="5">
        <f t="shared" si="0"/>
        <v>7</v>
      </c>
      <c r="F7" s="5" t="s">
        <v>14</v>
      </c>
      <c r="G7" s="5">
        <v>0.1</v>
      </c>
      <c r="H7" s="5">
        <v>1</v>
      </c>
      <c r="I7" s="5">
        <v>0.4</v>
      </c>
      <c r="J7" s="5">
        <f t="shared" si="1"/>
        <v>0.6</v>
      </c>
      <c r="K7" s="5">
        <v>5</v>
      </c>
    </row>
    <row r="8" spans="1:11" ht="15.75" customHeight="1" x14ac:dyDescent="0.15">
      <c r="A8" s="51"/>
      <c r="B8" s="4">
        <v>6</v>
      </c>
      <c r="C8" s="5">
        <v>10</v>
      </c>
      <c r="D8" s="5">
        <v>3</v>
      </c>
      <c r="E8" s="5">
        <f t="shared" si="0"/>
        <v>7</v>
      </c>
      <c r="F8" s="5" t="s">
        <v>13</v>
      </c>
      <c r="G8" s="5">
        <v>0.1</v>
      </c>
      <c r="H8" s="5">
        <v>1.1000000000000001</v>
      </c>
      <c r="I8" s="5">
        <v>0.44</v>
      </c>
      <c r="J8" s="5">
        <f t="shared" si="1"/>
        <v>0.66000000000000014</v>
      </c>
      <c r="K8" s="5">
        <v>5</v>
      </c>
    </row>
    <row r="9" spans="1:11" ht="15.75" customHeight="1" x14ac:dyDescent="0.15">
      <c r="A9" s="51"/>
      <c r="B9" s="4">
        <v>7</v>
      </c>
      <c r="C9" s="5">
        <v>9</v>
      </c>
      <c r="D9" s="5">
        <v>2</v>
      </c>
      <c r="E9" s="5">
        <f t="shared" si="0"/>
        <v>7</v>
      </c>
      <c r="F9" s="5" t="s">
        <v>16</v>
      </c>
      <c r="G9" s="5">
        <v>0.1</v>
      </c>
      <c r="H9" s="5">
        <v>1</v>
      </c>
      <c r="I9" s="5">
        <v>0.4</v>
      </c>
      <c r="J9" s="5">
        <f t="shared" si="1"/>
        <v>0.6</v>
      </c>
      <c r="K9" s="5">
        <v>5</v>
      </c>
    </row>
    <row r="10" spans="1:11" ht="15.75" customHeight="1" x14ac:dyDescent="0.15">
      <c r="A10" s="51"/>
      <c r="B10" s="4">
        <v>8</v>
      </c>
      <c r="C10" s="5">
        <v>9</v>
      </c>
      <c r="D10" s="5">
        <v>2</v>
      </c>
      <c r="E10" s="5">
        <f t="shared" si="0"/>
        <v>7</v>
      </c>
      <c r="F10" s="5" t="s">
        <v>17</v>
      </c>
      <c r="G10" s="5">
        <v>0.1</v>
      </c>
      <c r="H10" s="5">
        <v>1.5</v>
      </c>
      <c r="I10" s="5">
        <v>0.6</v>
      </c>
      <c r="J10" s="5">
        <f t="shared" si="1"/>
        <v>0.9</v>
      </c>
      <c r="K10" s="5">
        <v>5</v>
      </c>
    </row>
    <row r="11" spans="1:11" ht="15.75" customHeight="1" x14ac:dyDescent="0.15">
      <c r="A11" s="51"/>
      <c r="B11" s="4">
        <v>9</v>
      </c>
      <c r="C11" s="5">
        <v>9.5</v>
      </c>
      <c r="D11" s="5">
        <v>3</v>
      </c>
      <c r="E11" s="5">
        <f t="shared" si="0"/>
        <v>6.5</v>
      </c>
      <c r="F11" s="5" t="s">
        <v>18</v>
      </c>
      <c r="G11" s="5">
        <v>0.1</v>
      </c>
      <c r="H11" s="5">
        <v>1.4</v>
      </c>
      <c r="I11" s="5">
        <v>0.54</v>
      </c>
      <c r="J11" s="5">
        <f t="shared" si="1"/>
        <v>0.85999999999999988</v>
      </c>
      <c r="K11" s="5">
        <v>4</v>
      </c>
    </row>
    <row r="12" spans="1:11" ht="15.75" customHeight="1" x14ac:dyDescent="0.15">
      <c r="A12" s="52"/>
      <c r="B12" s="4">
        <v>10</v>
      </c>
      <c r="C12" s="5">
        <v>12</v>
      </c>
      <c r="D12" s="5">
        <v>3</v>
      </c>
      <c r="E12" s="5">
        <f t="shared" si="0"/>
        <v>9</v>
      </c>
      <c r="F12" s="5" t="s">
        <v>12</v>
      </c>
      <c r="G12" s="5">
        <v>0.1</v>
      </c>
      <c r="H12" s="5">
        <v>1.5</v>
      </c>
      <c r="I12" s="5">
        <v>0.56999999999999995</v>
      </c>
      <c r="J12" s="5">
        <f t="shared" si="1"/>
        <v>0.93</v>
      </c>
      <c r="K12" s="5">
        <v>4</v>
      </c>
    </row>
    <row r="13" spans="1:11" ht="15.75" customHeight="1" x14ac:dyDescent="0.15"/>
    <row r="14" spans="1:11" ht="15.75" customHeight="1" x14ac:dyDescent="0.15"/>
    <row r="15" spans="1:11" ht="15.75" customHeight="1" x14ac:dyDescent="0.15"/>
    <row r="16" spans="1:11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B1:J1"/>
    <mergeCell ref="A3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" customHeight="1" x14ac:dyDescent="0.15"/>
  <cols>
    <col min="1" max="6" width="12.6640625" customWidth="1"/>
  </cols>
  <sheetData>
    <row r="1" spans="1:12" ht="15.75" customHeight="1" x14ac:dyDescent="0.15">
      <c r="A1" s="6"/>
      <c r="B1" s="7"/>
      <c r="C1" s="53" t="s">
        <v>19</v>
      </c>
      <c r="D1" s="54"/>
      <c r="E1" s="54"/>
      <c r="F1" s="54"/>
      <c r="G1" s="8"/>
      <c r="H1" s="8"/>
      <c r="I1" s="55"/>
      <c r="J1" s="56"/>
      <c r="K1" s="56"/>
      <c r="L1" s="9"/>
    </row>
    <row r="2" spans="1:12" ht="15.75" customHeight="1" x14ac:dyDescent="0.15">
      <c r="A2" s="10" t="s">
        <v>1</v>
      </c>
      <c r="B2" s="10" t="s">
        <v>20</v>
      </c>
      <c r="C2" s="11" t="s">
        <v>21</v>
      </c>
      <c r="D2" s="11" t="s">
        <v>22</v>
      </c>
      <c r="E2" s="11" t="s">
        <v>23</v>
      </c>
      <c r="F2" s="11" t="s">
        <v>24</v>
      </c>
      <c r="G2" s="10" t="s">
        <v>1</v>
      </c>
      <c r="H2" s="10" t="s">
        <v>20</v>
      </c>
      <c r="I2" s="12" t="s">
        <v>25</v>
      </c>
      <c r="J2" s="11" t="s">
        <v>26</v>
      </c>
      <c r="K2" s="11" t="s">
        <v>27</v>
      </c>
      <c r="L2" s="12"/>
    </row>
    <row r="3" spans="1:12" ht="15.75" customHeight="1" x14ac:dyDescent="0.15">
      <c r="A3" s="6" t="s">
        <v>28</v>
      </c>
      <c r="B3" s="6"/>
      <c r="G3" s="13">
        <v>45361</v>
      </c>
      <c r="K3" s="12">
        <v>406.96</v>
      </c>
      <c r="L3" s="14"/>
    </row>
    <row r="4" spans="1:12" ht="15.75" customHeight="1" x14ac:dyDescent="0.15">
      <c r="A4" s="6"/>
      <c r="B4" s="6"/>
      <c r="G4" s="15">
        <v>45361</v>
      </c>
      <c r="H4" s="16">
        <v>0.41666666666666669</v>
      </c>
      <c r="I4" s="12">
        <v>49.08</v>
      </c>
      <c r="J4" s="12">
        <v>24.18</v>
      </c>
      <c r="K4" s="12">
        <v>406.55</v>
      </c>
      <c r="L4" s="14"/>
    </row>
    <row r="5" spans="1:12" ht="15.75" customHeight="1" x14ac:dyDescent="0.15">
      <c r="A5" s="6"/>
      <c r="B5" s="6"/>
      <c r="G5" s="15">
        <v>45361</v>
      </c>
      <c r="H5" s="16">
        <v>0.45833333333333331</v>
      </c>
      <c r="I5" s="12">
        <v>47.51</v>
      </c>
      <c r="J5" s="12">
        <v>23.55</v>
      </c>
      <c r="K5" s="12">
        <v>413.38</v>
      </c>
      <c r="L5" s="14"/>
    </row>
    <row r="6" spans="1:12" ht="15.75" customHeight="1" x14ac:dyDescent="0.15">
      <c r="A6" s="6"/>
      <c r="B6" s="6"/>
      <c r="G6" s="15">
        <v>45361</v>
      </c>
      <c r="H6" s="16">
        <v>0.5</v>
      </c>
      <c r="I6" s="12">
        <v>46.8</v>
      </c>
      <c r="J6" s="12">
        <v>23.81</v>
      </c>
      <c r="K6" s="12">
        <v>412.5</v>
      </c>
      <c r="L6" s="14"/>
    </row>
    <row r="7" spans="1:12" ht="15.75" customHeight="1" x14ac:dyDescent="0.15">
      <c r="A7" s="6"/>
      <c r="B7" s="6"/>
      <c r="G7" s="15">
        <v>45361</v>
      </c>
      <c r="H7" s="16">
        <v>0.54166666666666663</v>
      </c>
      <c r="I7" s="12">
        <v>47.12</v>
      </c>
      <c r="J7" s="12">
        <v>24.48</v>
      </c>
      <c r="K7" s="12">
        <v>408.94</v>
      </c>
      <c r="L7" s="14"/>
    </row>
    <row r="8" spans="1:12" ht="15.75" customHeight="1" x14ac:dyDescent="0.15">
      <c r="A8" s="6"/>
      <c r="B8" s="6"/>
      <c r="G8" s="15">
        <v>45361</v>
      </c>
      <c r="H8" s="16">
        <v>0.58333333333333337</v>
      </c>
      <c r="I8" s="12">
        <v>47.64</v>
      </c>
      <c r="J8" s="12">
        <v>24.74</v>
      </c>
      <c r="K8" s="12">
        <v>410.58</v>
      </c>
      <c r="L8" s="14"/>
    </row>
    <row r="9" spans="1:12" ht="15.75" customHeight="1" x14ac:dyDescent="0.15">
      <c r="A9" s="6"/>
      <c r="B9" s="6"/>
      <c r="G9" s="15">
        <v>45361</v>
      </c>
      <c r="H9" s="16">
        <v>0.625</v>
      </c>
      <c r="I9" s="12">
        <v>48.55</v>
      </c>
      <c r="J9" s="12">
        <v>24.43</v>
      </c>
      <c r="K9" s="12">
        <v>413.71</v>
      </c>
      <c r="L9" s="14"/>
    </row>
    <row r="10" spans="1:12" ht="15.75" customHeight="1" x14ac:dyDescent="0.15">
      <c r="A10" s="6"/>
      <c r="B10" s="6"/>
      <c r="G10" s="15">
        <v>45361</v>
      </c>
      <c r="H10" s="16">
        <v>0.66666666666666663</v>
      </c>
      <c r="I10" s="12">
        <v>49.41</v>
      </c>
      <c r="J10" s="12">
        <v>25.27</v>
      </c>
      <c r="K10" s="12">
        <v>427.72</v>
      </c>
      <c r="L10" s="14"/>
    </row>
    <row r="11" spans="1:12" ht="15.75" customHeight="1" x14ac:dyDescent="0.15">
      <c r="A11" s="6"/>
      <c r="B11" s="6"/>
      <c r="G11" s="15">
        <v>45361</v>
      </c>
      <c r="H11" s="16">
        <v>0.70833333333333337</v>
      </c>
      <c r="I11" s="12">
        <v>50.27</v>
      </c>
      <c r="J11" s="12">
        <v>20.93</v>
      </c>
      <c r="K11" s="12">
        <v>440.55</v>
      </c>
      <c r="L11" s="14"/>
    </row>
    <row r="12" spans="1:12" ht="15.75" customHeight="1" x14ac:dyDescent="0.15">
      <c r="A12" s="6"/>
      <c r="B12" s="6"/>
      <c r="G12" s="15">
        <v>45361</v>
      </c>
      <c r="H12" s="16">
        <v>0.75</v>
      </c>
      <c r="I12" s="12">
        <v>51.56</v>
      </c>
      <c r="J12" s="12">
        <v>16.91</v>
      </c>
      <c r="K12" s="12">
        <v>443.4</v>
      </c>
      <c r="L12" s="14"/>
    </row>
    <row r="13" spans="1:12" ht="15.75" customHeight="1" x14ac:dyDescent="0.15">
      <c r="A13" s="6"/>
      <c r="B13" s="6"/>
      <c r="G13" s="15">
        <v>45361</v>
      </c>
      <c r="H13" s="16">
        <v>0.79166666666666663</v>
      </c>
      <c r="I13" s="12">
        <v>53.32</v>
      </c>
      <c r="J13" s="12">
        <v>15.9</v>
      </c>
      <c r="K13" s="12">
        <v>447.13</v>
      </c>
      <c r="L13" s="14"/>
    </row>
    <row r="14" spans="1:12" ht="15.75" customHeight="1" x14ac:dyDescent="0.15">
      <c r="A14" s="6"/>
      <c r="B14" s="6"/>
      <c r="G14" s="15">
        <v>45361</v>
      </c>
      <c r="H14" s="16">
        <v>0.83333333333333337</v>
      </c>
      <c r="I14" s="12">
        <v>54.98</v>
      </c>
      <c r="J14" s="12">
        <v>14.95</v>
      </c>
      <c r="K14" s="12">
        <v>449.82</v>
      </c>
      <c r="L14" s="14"/>
    </row>
    <row r="15" spans="1:12" ht="15.75" customHeight="1" x14ac:dyDescent="0.15">
      <c r="A15" s="6"/>
      <c r="B15" s="6"/>
      <c r="G15" s="15">
        <v>45361</v>
      </c>
      <c r="H15" s="16">
        <v>0.875</v>
      </c>
      <c r="I15" s="12">
        <v>56.49</v>
      </c>
      <c r="J15" s="12">
        <v>14.01</v>
      </c>
      <c r="K15" s="12">
        <v>453.56</v>
      </c>
      <c r="L15" s="14"/>
    </row>
    <row r="16" spans="1:12" ht="15.75" customHeight="1" x14ac:dyDescent="0.15">
      <c r="A16" s="6"/>
      <c r="B16" s="6"/>
      <c r="G16" s="15">
        <v>45361</v>
      </c>
      <c r="H16" s="16">
        <v>0.91666666666666663</v>
      </c>
      <c r="I16" s="12">
        <v>57.83</v>
      </c>
      <c r="J16" s="12">
        <v>13.26</v>
      </c>
      <c r="K16" s="12">
        <v>455.81</v>
      </c>
      <c r="L16" s="14"/>
    </row>
    <row r="17" spans="1:12" ht="15.75" customHeight="1" x14ac:dyDescent="0.15">
      <c r="A17" s="6"/>
      <c r="B17" s="6"/>
      <c r="G17" s="15">
        <v>45362</v>
      </c>
      <c r="H17" s="16">
        <v>0.95833333333333337</v>
      </c>
      <c r="I17" s="12">
        <v>58.9</v>
      </c>
      <c r="J17" s="12">
        <v>12.44</v>
      </c>
      <c r="K17" s="12">
        <v>460.04</v>
      </c>
      <c r="L17" s="14"/>
    </row>
    <row r="18" spans="1:12" ht="15.75" customHeight="1" x14ac:dyDescent="0.15">
      <c r="A18" s="6"/>
      <c r="B18" s="6"/>
      <c r="G18" s="15">
        <v>45362</v>
      </c>
      <c r="H18" s="16">
        <v>0</v>
      </c>
      <c r="I18" s="12">
        <v>59.81</v>
      </c>
      <c r="J18" s="12">
        <v>11.37</v>
      </c>
      <c r="K18" s="12">
        <v>465.31</v>
      </c>
      <c r="L18" s="14"/>
    </row>
    <row r="19" spans="1:12" ht="15.75" customHeight="1" x14ac:dyDescent="0.15">
      <c r="A19" s="6"/>
      <c r="B19" s="6"/>
      <c r="G19" s="15">
        <v>45362</v>
      </c>
      <c r="H19" s="16">
        <v>4.1666666666666664E-2</v>
      </c>
      <c r="I19" s="12">
        <v>60.26</v>
      </c>
      <c r="J19" s="12">
        <v>10.82</v>
      </c>
      <c r="K19" s="12">
        <v>471.44</v>
      </c>
      <c r="L19" s="14"/>
    </row>
    <row r="20" spans="1:12" ht="15.75" customHeight="1" x14ac:dyDescent="0.15">
      <c r="A20" s="6"/>
      <c r="B20" s="6"/>
      <c r="G20" s="15">
        <v>45362</v>
      </c>
      <c r="H20" s="16">
        <v>8.3333333333333329E-2</v>
      </c>
      <c r="I20" s="12">
        <v>60.62</v>
      </c>
      <c r="J20" s="12">
        <v>10.42</v>
      </c>
      <c r="K20" s="12">
        <v>475.82</v>
      </c>
      <c r="L20" s="14"/>
    </row>
    <row r="21" spans="1:12" ht="15.75" customHeight="1" x14ac:dyDescent="0.15">
      <c r="A21" s="6"/>
      <c r="B21" s="6"/>
      <c r="G21" s="15">
        <v>45362</v>
      </c>
      <c r="H21" s="16">
        <v>0.125</v>
      </c>
      <c r="I21" s="12">
        <v>60.89</v>
      </c>
      <c r="J21" s="12">
        <v>10.119999999999999</v>
      </c>
      <c r="K21" s="12">
        <v>479.29</v>
      </c>
      <c r="L21" s="14"/>
    </row>
    <row r="22" spans="1:12" ht="15.75" customHeight="1" x14ac:dyDescent="0.15">
      <c r="A22" s="6"/>
      <c r="B22" s="6"/>
      <c r="G22" s="15">
        <v>45362</v>
      </c>
      <c r="H22" s="16">
        <v>0.16666666666666666</v>
      </c>
      <c r="I22" s="12">
        <v>61.22</v>
      </c>
      <c r="J22" s="12">
        <v>9.92</v>
      </c>
      <c r="K22" s="12">
        <v>484.13</v>
      </c>
      <c r="L22" s="14"/>
    </row>
    <row r="23" spans="1:12" ht="15.75" customHeight="1" x14ac:dyDescent="0.15">
      <c r="A23" s="6"/>
      <c r="B23" s="6"/>
      <c r="G23" s="15">
        <v>45362</v>
      </c>
      <c r="H23" s="16">
        <v>0.20833333333333334</v>
      </c>
      <c r="I23" s="12">
        <v>61.48</v>
      </c>
      <c r="J23" s="12">
        <v>9.81</v>
      </c>
      <c r="K23" s="12">
        <v>486.6</v>
      </c>
      <c r="L23" s="14"/>
    </row>
    <row r="24" spans="1:12" ht="15.75" customHeight="1" x14ac:dyDescent="0.15">
      <c r="A24" s="6"/>
      <c r="B24" s="6"/>
      <c r="G24" s="15">
        <v>45362</v>
      </c>
      <c r="H24" s="16">
        <v>0.25</v>
      </c>
      <c r="I24" s="12">
        <v>61.38</v>
      </c>
      <c r="J24" s="12">
        <v>11.26</v>
      </c>
      <c r="K24" s="12">
        <v>484.31</v>
      </c>
      <c r="L24" s="14"/>
    </row>
    <row r="25" spans="1:12" ht="15.75" customHeight="1" x14ac:dyDescent="0.15">
      <c r="A25" s="6"/>
      <c r="B25" s="6"/>
      <c r="G25" s="15">
        <v>45362</v>
      </c>
      <c r="H25" s="16">
        <v>0.29166666666666669</v>
      </c>
      <c r="I25" s="12">
        <v>57.06</v>
      </c>
      <c r="J25" s="12">
        <v>20.329999999999998</v>
      </c>
      <c r="K25" s="12">
        <v>459.29</v>
      </c>
      <c r="L25" s="14"/>
    </row>
    <row r="26" spans="1:12" ht="15.75" customHeight="1" x14ac:dyDescent="0.15">
      <c r="A26" s="6"/>
      <c r="B26" s="6"/>
      <c r="G26" s="13">
        <v>45362</v>
      </c>
      <c r="H26" s="16">
        <v>0.33333333333333331</v>
      </c>
      <c r="I26" s="12">
        <v>52.95</v>
      </c>
      <c r="J26" s="12">
        <v>24.85</v>
      </c>
      <c r="K26" s="12">
        <v>443.29</v>
      </c>
      <c r="L26" s="14"/>
    </row>
    <row r="27" spans="1:12" ht="15.75" customHeight="1" x14ac:dyDescent="0.15">
      <c r="A27" s="6"/>
      <c r="B27" s="6"/>
      <c r="G27" s="13">
        <v>45362</v>
      </c>
      <c r="H27" s="16">
        <v>0.375</v>
      </c>
      <c r="I27" s="12">
        <v>49.6</v>
      </c>
      <c r="J27" s="12">
        <v>24.16</v>
      </c>
      <c r="K27" s="12">
        <v>434.23</v>
      </c>
      <c r="L27" s="14"/>
    </row>
    <row r="28" spans="1:12" ht="15.75" customHeight="1" x14ac:dyDescent="0.15">
      <c r="A28" s="6"/>
      <c r="B28" s="6"/>
      <c r="G28" s="15">
        <v>45362</v>
      </c>
      <c r="H28" s="16">
        <v>0.41666666666666669</v>
      </c>
      <c r="I28" s="12">
        <v>48.4</v>
      </c>
      <c r="J28" s="12">
        <v>24.34</v>
      </c>
      <c r="K28" s="12">
        <v>425.57</v>
      </c>
    </row>
    <row r="29" spans="1:12" ht="15.75" customHeight="1" x14ac:dyDescent="0.15">
      <c r="A29" s="6"/>
      <c r="B29" s="6"/>
      <c r="G29" s="15">
        <v>45362</v>
      </c>
      <c r="H29" s="16">
        <v>0.45833333333333331</v>
      </c>
      <c r="I29" s="12">
        <v>47.65</v>
      </c>
      <c r="J29" s="12">
        <v>23.45</v>
      </c>
      <c r="K29" s="12">
        <v>421.48</v>
      </c>
    </row>
    <row r="30" spans="1:12" ht="15.75" customHeight="1" x14ac:dyDescent="0.15">
      <c r="A30" s="6"/>
      <c r="B30" s="6"/>
      <c r="G30" s="15">
        <v>45362</v>
      </c>
      <c r="H30" s="16">
        <v>0.5</v>
      </c>
      <c r="I30" s="12">
        <v>47.19</v>
      </c>
      <c r="J30" s="12">
        <v>23.99</v>
      </c>
      <c r="K30" s="12">
        <v>419.98</v>
      </c>
    </row>
    <row r="31" spans="1:12" ht="15.75" customHeight="1" x14ac:dyDescent="0.15">
      <c r="A31" s="6"/>
      <c r="B31" s="6"/>
      <c r="G31" s="15">
        <v>45362</v>
      </c>
      <c r="H31" s="16">
        <v>0.54166666666666663</v>
      </c>
      <c r="I31" s="12">
        <v>48.39</v>
      </c>
      <c r="J31" s="12">
        <v>22.8</v>
      </c>
      <c r="K31" s="12">
        <v>415.63</v>
      </c>
    </row>
    <row r="32" spans="1:12" ht="15.75" customHeight="1" x14ac:dyDescent="0.15">
      <c r="A32" s="6"/>
      <c r="B32" s="6"/>
      <c r="G32" s="15">
        <v>45362</v>
      </c>
      <c r="H32" s="16">
        <v>0.58333333333333337</v>
      </c>
      <c r="I32" s="12">
        <v>48.13</v>
      </c>
      <c r="J32" s="12">
        <v>24.63</v>
      </c>
      <c r="K32" s="12">
        <v>413.96</v>
      </c>
    </row>
    <row r="33" spans="1:11" ht="15.75" customHeight="1" x14ac:dyDescent="0.15">
      <c r="A33" s="6"/>
      <c r="B33" s="6"/>
      <c r="G33" s="15">
        <v>45362</v>
      </c>
      <c r="H33" s="16">
        <v>0.625</v>
      </c>
      <c r="I33" s="12">
        <v>49.25</v>
      </c>
      <c r="J33" s="12">
        <v>24.72</v>
      </c>
      <c r="K33" s="12">
        <v>417.04</v>
      </c>
    </row>
    <row r="34" spans="1:11" ht="15.75" customHeight="1" x14ac:dyDescent="0.15">
      <c r="A34" s="6"/>
      <c r="B34" s="6"/>
      <c r="G34" s="15">
        <v>45362</v>
      </c>
      <c r="H34" s="16">
        <v>0.66666666666666663</v>
      </c>
      <c r="I34" s="12">
        <v>50.36</v>
      </c>
      <c r="J34" s="12">
        <v>25.72</v>
      </c>
      <c r="K34" s="12">
        <v>424.98</v>
      </c>
    </row>
    <row r="35" spans="1:11" ht="15.75" customHeight="1" x14ac:dyDescent="0.15">
      <c r="A35" s="6"/>
      <c r="B35" s="6"/>
      <c r="G35" s="15">
        <v>45362</v>
      </c>
      <c r="H35" s="16">
        <v>0.70833333333333337</v>
      </c>
      <c r="I35" s="12">
        <v>51.68</v>
      </c>
      <c r="J35" s="12">
        <v>22.29</v>
      </c>
      <c r="K35" s="12">
        <v>437.88</v>
      </c>
    </row>
    <row r="36" spans="1:11" ht="15.75" customHeight="1" x14ac:dyDescent="0.15">
      <c r="A36" s="6"/>
      <c r="B36" s="6"/>
      <c r="G36" s="15">
        <v>45362</v>
      </c>
      <c r="H36" s="16">
        <v>0.75</v>
      </c>
      <c r="I36" s="12">
        <v>54.04</v>
      </c>
      <c r="J36" s="12">
        <v>17.2</v>
      </c>
      <c r="K36" s="12">
        <v>445.02</v>
      </c>
    </row>
    <row r="37" spans="1:11" ht="15.75" customHeight="1" x14ac:dyDescent="0.15">
      <c r="A37" s="6"/>
      <c r="B37" s="6"/>
      <c r="G37" s="15">
        <v>45362</v>
      </c>
      <c r="H37" s="16">
        <v>0.79166666666666663</v>
      </c>
      <c r="I37" s="12">
        <v>56.61</v>
      </c>
      <c r="J37" s="12">
        <v>15.13</v>
      </c>
      <c r="K37" s="12">
        <v>449.31</v>
      </c>
    </row>
    <row r="38" spans="1:11" ht="15.75" customHeight="1" x14ac:dyDescent="0.15">
      <c r="A38" s="6"/>
      <c r="B38" s="6"/>
      <c r="G38" s="15">
        <v>45362</v>
      </c>
      <c r="H38" s="16">
        <v>0.83333333333333337</v>
      </c>
      <c r="I38" s="12">
        <v>58.16</v>
      </c>
      <c r="J38" s="12">
        <v>14.23</v>
      </c>
      <c r="K38" s="12">
        <v>450.49</v>
      </c>
    </row>
    <row r="39" spans="1:11" ht="15.75" customHeight="1" x14ac:dyDescent="0.15">
      <c r="A39" s="6"/>
      <c r="B39" s="6"/>
      <c r="G39" s="15">
        <v>45362</v>
      </c>
      <c r="H39" s="16">
        <v>0.875</v>
      </c>
      <c r="I39" s="12">
        <v>59.51</v>
      </c>
      <c r="J39" s="12">
        <v>13.88</v>
      </c>
      <c r="K39" s="12">
        <v>452.28</v>
      </c>
    </row>
    <row r="40" spans="1:11" ht="15.75" customHeight="1" x14ac:dyDescent="0.15">
      <c r="A40" s="6"/>
      <c r="B40" s="6"/>
      <c r="G40" s="15">
        <v>45362</v>
      </c>
      <c r="H40" s="16">
        <v>0.91666666666666663</v>
      </c>
      <c r="I40" s="12">
        <v>60.56</v>
      </c>
      <c r="J40" s="12">
        <v>13.51</v>
      </c>
      <c r="K40" s="12">
        <v>452.65</v>
      </c>
    </row>
    <row r="41" spans="1:11" ht="15.75" customHeight="1" x14ac:dyDescent="0.15">
      <c r="A41" s="6"/>
      <c r="B41" s="6"/>
      <c r="G41" s="15">
        <v>45363</v>
      </c>
      <c r="H41" s="16">
        <v>0.95833333333333337</v>
      </c>
      <c r="I41" s="12">
        <v>61.46</v>
      </c>
      <c r="J41" s="12">
        <v>13.13</v>
      </c>
      <c r="K41" s="12">
        <v>451.69</v>
      </c>
    </row>
    <row r="42" spans="1:11" ht="15.75" customHeight="1" x14ac:dyDescent="0.15">
      <c r="A42" s="6"/>
      <c r="B42" s="6"/>
      <c r="G42" s="15">
        <v>45363</v>
      </c>
      <c r="H42" s="16">
        <v>0</v>
      </c>
      <c r="I42" s="12">
        <v>61.93</v>
      </c>
      <c r="J42" s="12">
        <v>12.84</v>
      </c>
      <c r="K42" s="12">
        <v>449.85</v>
      </c>
    </row>
    <row r="43" spans="1:11" ht="15.75" customHeight="1" x14ac:dyDescent="0.15">
      <c r="A43" s="6"/>
      <c r="B43" s="6"/>
      <c r="G43" s="15">
        <v>45363</v>
      </c>
      <c r="H43" s="16">
        <v>4.1666666666666664E-2</v>
      </c>
      <c r="I43" s="12">
        <v>62.69</v>
      </c>
      <c r="J43" s="12">
        <v>12.68</v>
      </c>
      <c r="K43" s="12">
        <v>451.39</v>
      </c>
    </row>
    <row r="44" spans="1:11" ht="15.75" customHeight="1" x14ac:dyDescent="0.15">
      <c r="A44" s="6"/>
      <c r="B44" s="6"/>
      <c r="G44" s="15">
        <v>45363</v>
      </c>
      <c r="H44" s="16">
        <v>8.3333333333333329E-2</v>
      </c>
      <c r="I44" s="12">
        <v>63.03</v>
      </c>
      <c r="J44" s="12">
        <v>12.23</v>
      </c>
      <c r="K44" s="12">
        <v>452.94</v>
      </c>
    </row>
    <row r="45" spans="1:11" ht="15.75" customHeight="1" x14ac:dyDescent="0.15">
      <c r="A45" s="6"/>
      <c r="B45" s="6"/>
      <c r="G45" s="15">
        <v>45363</v>
      </c>
      <c r="H45" s="16">
        <v>0.125</v>
      </c>
      <c r="I45" s="12">
        <v>63.21</v>
      </c>
      <c r="J45" s="12">
        <v>11.85</v>
      </c>
      <c r="K45" s="12">
        <v>455.81</v>
      </c>
    </row>
    <row r="46" spans="1:11" ht="15.75" customHeight="1" x14ac:dyDescent="0.15">
      <c r="A46" s="6"/>
      <c r="B46" s="6"/>
      <c r="G46" s="15">
        <v>45363</v>
      </c>
      <c r="H46" s="16">
        <v>0.16666666666666666</v>
      </c>
      <c r="I46" s="12">
        <v>62.97</v>
      </c>
      <c r="J46" s="12">
        <v>11.8</v>
      </c>
      <c r="K46" s="12">
        <v>452.51</v>
      </c>
    </row>
    <row r="47" spans="1:11" ht="15.75" customHeight="1" x14ac:dyDescent="0.15">
      <c r="A47" s="6"/>
      <c r="B47" s="6"/>
      <c r="G47" s="15">
        <v>45363</v>
      </c>
      <c r="H47" s="16">
        <v>0.20833333333333334</v>
      </c>
      <c r="I47" s="12">
        <v>63.46</v>
      </c>
      <c r="J47" s="12">
        <v>11.27</v>
      </c>
      <c r="K47" s="12">
        <v>452.95</v>
      </c>
    </row>
    <row r="48" spans="1:11" ht="15.75" customHeight="1" x14ac:dyDescent="0.15">
      <c r="A48" s="6"/>
      <c r="B48" s="6"/>
      <c r="G48" s="15">
        <v>45363</v>
      </c>
      <c r="H48" s="16">
        <v>0.25</v>
      </c>
      <c r="I48" s="12">
        <v>63.23</v>
      </c>
      <c r="J48" s="12">
        <v>12.45</v>
      </c>
      <c r="K48" s="12">
        <v>444.2</v>
      </c>
    </row>
    <row r="49" spans="1:11" ht="15.75" customHeight="1" x14ac:dyDescent="0.15">
      <c r="A49" s="6"/>
      <c r="B49" s="6"/>
      <c r="G49" s="15">
        <v>45363</v>
      </c>
      <c r="H49" s="16">
        <v>0.29166666666666669</v>
      </c>
      <c r="I49" s="12">
        <v>58.73</v>
      </c>
      <c r="J49" s="12">
        <v>21.75</v>
      </c>
      <c r="K49" s="12">
        <v>428.9</v>
      </c>
    </row>
    <row r="50" spans="1:11" ht="15.75" customHeight="1" x14ac:dyDescent="0.15">
      <c r="A50" s="6"/>
      <c r="B50" s="6"/>
      <c r="G50" s="15">
        <v>45363</v>
      </c>
      <c r="H50" s="16">
        <v>0.33333333333333331</v>
      </c>
      <c r="I50" s="12">
        <v>55.23</v>
      </c>
      <c r="J50" s="12">
        <v>25.45</v>
      </c>
      <c r="K50" s="12">
        <v>424.04</v>
      </c>
    </row>
    <row r="51" spans="1:11" ht="15.75" customHeight="1" x14ac:dyDescent="0.2">
      <c r="A51" s="6"/>
      <c r="B51" s="6"/>
      <c r="G51" s="17">
        <v>45363</v>
      </c>
      <c r="H51" s="16">
        <v>0.375</v>
      </c>
      <c r="I51" s="12">
        <v>52.21</v>
      </c>
      <c r="J51" s="12">
        <v>24.76</v>
      </c>
      <c r="K51" s="18">
        <v>417.8</v>
      </c>
    </row>
    <row r="52" spans="1:11" ht="15.75" customHeight="1" x14ac:dyDescent="0.2">
      <c r="A52" s="6"/>
      <c r="B52" s="6"/>
      <c r="G52" s="17">
        <v>45363</v>
      </c>
      <c r="H52" s="19">
        <v>0.41666666666666669</v>
      </c>
      <c r="I52" s="18">
        <v>50.18</v>
      </c>
      <c r="J52" s="18">
        <v>23.12</v>
      </c>
      <c r="K52" s="18">
        <v>411.77</v>
      </c>
    </row>
    <row r="53" spans="1:11" ht="15.75" customHeight="1" x14ac:dyDescent="0.2">
      <c r="A53" s="6"/>
      <c r="B53" s="6"/>
      <c r="G53" s="17">
        <v>45363</v>
      </c>
      <c r="H53" s="19">
        <v>0.45833333333333331</v>
      </c>
      <c r="I53" s="18">
        <v>48.67</v>
      </c>
      <c r="J53" s="18">
        <v>23.59</v>
      </c>
      <c r="K53" s="18">
        <v>406.54</v>
      </c>
    </row>
    <row r="54" spans="1:11" ht="15.75" customHeight="1" x14ac:dyDescent="0.2">
      <c r="A54" s="6"/>
      <c r="B54" s="6"/>
      <c r="G54" s="17">
        <v>45363</v>
      </c>
      <c r="H54" s="19">
        <v>0.5</v>
      </c>
      <c r="I54" s="18">
        <v>48.25</v>
      </c>
      <c r="J54" s="18">
        <v>24.21</v>
      </c>
      <c r="K54" s="18">
        <v>407.38</v>
      </c>
    </row>
    <row r="55" spans="1:11" ht="15.75" customHeight="1" x14ac:dyDescent="0.2">
      <c r="A55" s="6"/>
      <c r="B55" s="6"/>
      <c r="G55" s="15">
        <v>45363</v>
      </c>
      <c r="H55" s="19">
        <v>0.54166666666666663</v>
      </c>
      <c r="I55" s="18">
        <v>48.67</v>
      </c>
      <c r="J55" s="18">
        <v>23.58</v>
      </c>
      <c r="K55" s="12">
        <v>406.79</v>
      </c>
    </row>
    <row r="56" spans="1:11" ht="15.75" customHeight="1" x14ac:dyDescent="0.15">
      <c r="A56" s="6"/>
      <c r="B56" s="6"/>
      <c r="G56" s="15">
        <v>45363</v>
      </c>
      <c r="H56" s="16">
        <v>0.58333333333333337</v>
      </c>
      <c r="I56" s="12">
        <v>50.59</v>
      </c>
      <c r="J56" s="12">
        <v>22.78</v>
      </c>
      <c r="K56" s="12">
        <v>404.6</v>
      </c>
    </row>
    <row r="57" spans="1:11" ht="15.75" customHeight="1" x14ac:dyDescent="0.15">
      <c r="A57" s="6"/>
      <c r="B57" s="6"/>
      <c r="G57" s="15">
        <v>45364</v>
      </c>
      <c r="H57" s="16">
        <v>0.625</v>
      </c>
      <c r="I57" s="12">
        <v>51.2</v>
      </c>
      <c r="J57" s="12">
        <v>22.66</v>
      </c>
      <c r="K57" s="12">
        <v>454.56</v>
      </c>
    </row>
    <row r="58" spans="1:11" ht="15.75" customHeight="1" x14ac:dyDescent="0.15">
      <c r="A58" s="6"/>
      <c r="B58" s="6"/>
      <c r="G58" s="15">
        <v>45364</v>
      </c>
      <c r="H58" s="16">
        <v>0.375</v>
      </c>
      <c r="I58" s="12">
        <v>59.96</v>
      </c>
      <c r="J58" s="12">
        <v>23.57</v>
      </c>
      <c r="K58" s="12">
        <v>439.33</v>
      </c>
    </row>
    <row r="59" spans="1:11" ht="15.75" customHeight="1" x14ac:dyDescent="0.15">
      <c r="A59" s="6"/>
      <c r="B59" s="6"/>
      <c r="G59" s="15">
        <v>45364</v>
      </c>
      <c r="H59" s="16">
        <v>0.41666666666666669</v>
      </c>
      <c r="I59" s="12">
        <v>57.09</v>
      </c>
      <c r="J59" s="12">
        <v>23.48</v>
      </c>
      <c r="K59" s="12">
        <v>429.4</v>
      </c>
    </row>
    <row r="60" spans="1:11" ht="15.75" customHeight="1" x14ac:dyDescent="0.15">
      <c r="A60" s="6"/>
      <c r="B60" s="6"/>
      <c r="G60" s="15">
        <v>45364</v>
      </c>
      <c r="H60" s="16">
        <v>0.45833333333333331</v>
      </c>
      <c r="I60" s="12">
        <v>53.59</v>
      </c>
      <c r="J60" s="12">
        <v>23.81</v>
      </c>
      <c r="K60" s="12">
        <v>425.44</v>
      </c>
    </row>
    <row r="61" spans="1:11" ht="15.75" customHeight="1" x14ac:dyDescent="0.15">
      <c r="A61" s="6"/>
      <c r="B61" s="6"/>
      <c r="G61" s="15">
        <v>45364</v>
      </c>
      <c r="H61" s="16">
        <v>0.5</v>
      </c>
      <c r="I61" s="12">
        <v>52.17</v>
      </c>
      <c r="J61" s="12">
        <v>23.99</v>
      </c>
      <c r="K61" s="12">
        <v>420.42</v>
      </c>
    </row>
    <row r="62" spans="1:11" ht="15.75" customHeight="1" x14ac:dyDescent="0.15">
      <c r="A62" s="6"/>
      <c r="B62" s="6"/>
      <c r="G62" s="15">
        <v>45364</v>
      </c>
      <c r="H62" s="16">
        <v>0.54166666666666663</v>
      </c>
      <c r="I62" s="12">
        <v>51.68</v>
      </c>
      <c r="J62" s="12">
        <v>24.6</v>
      </c>
      <c r="K62" s="12">
        <v>415.45</v>
      </c>
    </row>
    <row r="63" spans="1:11" ht="15.75" customHeight="1" x14ac:dyDescent="0.15">
      <c r="A63" s="6"/>
      <c r="B63" s="6"/>
      <c r="G63" s="15">
        <v>45364</v>
      </c>
      <c r="H63" s="16">
        <v>0.58333333333333337</v>
      </c>
      <c r="I63" s="12">
        <v>53.12</v>
      </c>
      <c r="J63" s="12">
        <v>23.05</v>
      </c>
      <c r="K63" s="12">
        <v>416.16</v>
      </c>
    </row>
    <row r="64" spans="1:11" ht="15.75" customHeight="1" x14ac:dyDescent="0.15">
      <c r="A64" s="6"/>
      <c r="B64" s="6"/>
      <c r="G64" s="15">
        <v>45364</v>
      </c>
      <c r="H64" s="16">
        <v>0.625</v>
      </c>
      <c r="I64" s="12">
        <v>54.37</v>
      </c>
      <c r="J64" s="12">
        <v>24.15</v>
      </c>
      <c r="K64" s="12">
        <v>415.02</v>
      </c>
    </row>
    <row r="65" spans="1:11" ht="15.75" customHeight="1" x14ac:dyDescent="0.15">
      <c r="A65" s="6"/>
      <c r="B65" s="6"/>
      <c r="G65" s="15">
        <v>45364</v>
      </c>
      <c r="H65" s="16">
        <v>0.66666666666666663</v>
      </c>
      <c r="I65" s="12">
        <v>55.06</v>
      </c>
      <c r="J65" s="12">
        <v>25.59</v>
      </c>
      <c r="K65" s="12">
        <v>420.48</v>
      </c>
    </row>
    <row r="66" spans="1:11" ht="15.75" customHeight="1" x14ac:dyDescent="0.15">
      <c r="A66" s="6"/>
      <c r="B66" s="6"/>
      <c r="G66" s="15">
        <v>45364</v>
      </c>
      <c r="H66" s="16">
        <v>0.70833333333333337</v>
      </c>
      <c r="I66" s="12">
        <v>56.53</v>
      </c>
      <c r="J66" s="12">
        <v>23.37</v>
      </c>
      <c r="K66" s="12">
        <v>439.63</v>
      </c>
    </row>
    <row r="67" spans="1:11" ht="15.75" customHeight="1" x14ac:dyDescent="0.15">
      <c r="A67" s="6"/>
      <c r="B67" s="6"/>
      <c r="G67" s="15">
        <v>45364</v>
      </c>
      <c r="H67" s="16">
        <v>0.75</v>
      </c>
      <c r="I67" s="12">
        <v>58.52</v>
      </c>
      <c r="J67" s="12">
        <v>19.16</v>
      </c>
      <c r="K67" s="12">
        <v>444.76</v>
      </c>
    </row>
    <row r="68" spans="1:11" ht="15.75" customHeight="1" x14ac:dyDescent="0.15">
      <c r="A68" s="6"/>
      <c r="B68" s="6"/>
      <c r="G68" s="15">
        <v>45364</v>
      </c>
      <c r="H68" s="16">
        <v>0.79166666666666663</v>
      </c>
      <c r="I68" s="12">
        <v>60.47</v>
      </c>
      <c r="J68" s="12">
        <v>17.84</v>
      </c>
      <c r="K68" s="12">
        <v>450.64</v>
      </c>
    </row>
    <row r="69" spans="1:11" ht="15.75" customHeight="1" x14ac:dyDescent="0.15">
      <c r="A69" s="6"/>
      <c r="B69" s="6"/>
      <c r="G69" s="15">
        <v>45364</v>
      </c>
      <c r="H69" s="16">
        <v>0.83333333333333337</v>
      </c>
      <c r="I69" s="12">
        <v>61.86</v>
      </c>
      <c r="J69" s="12">
        <v>17.04</v>
      </c>
      <c r="K69" s="12">
        <v>456.72</v>
      </c>
    </row>
    <row r="70" spans="1:11" ht="15.75" customHeight="1" x14ac:dyDescent="0.15">
      <c r="A70" s="6"/>
      <c r="B70" s="6"/>
      <c r="G70" s="15">
        <v>45364</v>
      </c>
      <c r="H70" s="16">
        <v>0.875</v>
      </c>
      <c r="I70" s="12">
        <v>63.07</v>
      </c>
      <c r="J70" s="12">
        <v>16.39</v>
      </c>
      <c r="K70" s="12">
        <v>461.56</v>
      </c>
    </row>
    <row r="71" spans="1:11" ht="15.75" customHeight="1" x14ac:dyDescent="0.15">
      <c r="A71" s="6"/>
      <c r="B71" s="6"/>
      <c r="G71" s="15">
        <v>45364</v>
      </c>
      <c r="H71" s="16">
        <v>0.91666666666666663</v>
      </c>
      <c r="I71" s="12">
        <v>63.86</v>
      </c>
      <c r="J71" s="12">
        <v>15.85</v>
      </c>
      <c r="K71" s="12">
        <v>465.05</v>
      </c>
    </row>
    <row r="72" spans="1:11" ht="15.75" customHeight="1" x14ac:dyDescent="0.15">
      <c r="A72" s="6"/>
      <c r="B72" s="6"/>
      <c r="G72" s="15">
        <v>45365</v>
      </c>
      <c r="H72" s="16">
        <v>0.95833333333333337</v>
      </c>
      <c r="I72" s="12">
        <v>64.59</v>
      </c>
      <c r="J72" s="12">
        <v>15.68</v>
      </c>
      <c r="K72" s="12">
        <v>467.44</v>
      </c>
    </row>
    <row r="73" spans="1:11" ht="15.75" customHeight="1" x14ac:dyDescent="0.15">
      <c r="A73" s="6"/>
      <c r="B73" s="6"/>
      <c r="G73" s="15">
        <v>45365</v>
      </c>
      <c r="H73" s="16">
        <v>0</v>
      </c>
      <c r="I73" s="12">
        <v>65.06</v>
      </c>
      <c r="J73" s="12">
        <v>15.37</v>
      </c>
      <c r="K73" s="12">
        <v>469.71</v>
      </c>
    </row>
    <row r="74" spans="1:11" ht="15.75" customHeight="1" x14ac:dyDescent="0.15">
      <c r="A74" s="6"/>
      <c r="B74" s="6"/>
      <c r="G74" s="15">
        <v>45365</v>
      </c>
      <c r="H74" s="16">
        <v>4.1666666666666664E-2</v>
      </c>
      <c r="I74" s="12">
        <v>65.25</v>
      </c>
      <c r="J74" s="12">
        <v>14.82</v>
      </c>
      <c r="K74" s="12">
        <v>469.78</v>
      </c>
    </row>
    <row r="75" spans="1:11" ht="15.75" customHeight="1" x14ac:dyDescent="0.15">
      <c r="A75" s="6"/>
      <c r="B75" s="6"/>
      <c r="G75" s="15">
        <v>45365</v>
      </c>
      <c r="H75" s="16">
        <v>8.3333333333333329E-2</v>
      </c>
      <c r="I75" s="12">
        <v>65.58</v>
      </c>
      <c r="J75" s="12">
        <v>14</v>
      </c>
      <c r="K75" s="12">
        <v>477.63</v>
      </c>
    </row>
    <row r="76" spans="1:11" ht="15.75" customHeight="1" x14ac:dyDescent="0.15">
      <c r="A76" s="6"/>
      <c r="B76" s="6"/>
      <c r="G76" s="15">
        <v>45365</v>
      </c>
      <c r="H76" s="16">
        <v>0.125</v>
      </c>
      <c r="I76" s="12">
        <v>65.78</v>
      </c>
      <c r="J76" s="12">
        <v>14.64</v>
      </c>
      <c r="K76" s="12">
        <v>485.65</v>
      </c>
    </row>
    <row r="77" spans="1:11" ht="15.75" customHeight="1" x14ac:dyDescent="0.15">
      <c r="A77" s="6"/>
      <c r="B77" s="6"/>
      <c r="G77" s="15">
        <v>45365</v>
      </c>
      <c r="H77" s="16">
        <v>0.16666666666666666</v>
      </c>
      <c r="I77" s="12">
        <v>65.73</v>
      </c>
      <c r="J77" s="12">
        <v>14.54</v>
      </c>
      <c r="K77" s="12">
        <v>487.65</v>
      </c>
    </row>
    <row r="78" spans="1:11" ht="15.75" customHeight="1" x14ac:dyDescent="0.15">
      <c r="A78" s="6"/>
      <c r="B78" s="6"/>
      <c r="G78" s="15">
        <v>45365</v>
      </c>
      <c r="H78" s="16">
        <v>0.20833333333333334</v>
      </c>
      <c r="I78" s="12">
        <v>66.53</v>
      </c>
      <c r="J78" s="12">
        <v>13.28</v>
      </c>
      <c r="K78" s="12">
        <v>496.21</v>
      </c>
    </row>
    <row r="79" spans="1:11" ht="15.75" customHeight="1" x14ac:dyDescent="0.15">
      <c r="A79" s="6"/>
      <c r="B79" s="6"/>
      <c r="G79" s="15">
        <v>45365</v>
      </c>
      <c r="H79" s="16">
        <v>0.25</v>
      </c>
      <c r="I79" s="12">
        <v>66.010000000000005</v>
      </c>
      <c r="J79" s="12">
        <v>14.47</v>
      </c>
      <c r="K79" s="12">
        <v>489.91</v>
      </c>
    </row>
    <row r="80" spans="1:11" ht="15.75" customHeight="1" x14ac:dyDescent="0.15">
      <c r="A80" s="6"/>
      <c r="B80" s="6"/>
      <c r="G80" s="15">
        <v>45365</v>
      </c>
      <c r="H80" s="16">
        <v>0.29166666666666669</v>
      </c>
      <c r="I80" s="12">
        <v>61.92</v>
      </c>
      <c r="J80" s="12">
        <v>22.31</v>
      </c>
      <c r="K80" s="12">
        <v>461.12</v>
      </c>
    </row>
    <row r="81" spans="1:11" ht="15.75" customHeight="1" x14ac:dyDescent="0.15">
      <c r="A81" s="6"/>
      <c r="B81" s="6"/>
      <c r="G81" s="15">
        <v>45365</v>
      </c>
      <c r="H81" s="16">
        <v>0.33333333333333331</v>
      </c>
      <c r="I81" s="12">
        <v>58.83</v>
      </c>
      <c r="J81" s="12">
        <v>24.96</v>
      </c>
      <c r="K81" s="12">
        <v>443.2</v>
      </c>
    </row>
    <row r="82" spans="1:11" ht="15.75" customHeight="1" x14ac:dyDescent="0.15">
      <c r="A82" s="6"/>
      <c r="B82" s="6"/>
      <c r="G82" s="15">
        <v>45365</v>
      </c>
      <c r="H82" s="16">
        <v>0.375</v>
      </c>
      <c r="I82" s="12">
        <v>55.73</v>
      </c>
      <c r="J82" s="12">
        <v>23.64</v>
      </c>
      <c r="K82" s="12">
        <v>432.37</v>
      </c>
    </row>
    <row r="83" spans="1:11" ht="15.75" customHeight="1" x14ac:dyDescent="0.2">
      <c r="A83" s="6"/>
      <c r="B83" s="6"/>
      <c r="G83" s="20">
        <v>45365</v>
      </c>
      <c r="H83" s="16">
        <v>0.41666666666666669</v>
      </c>
      <c r="I83" s="12">
        <v>54.44</v>
      </c>
      <c r="J83" s="12">
        <v>22.36</v>
      </c>
      <c r="K83" s="21">
        <v>425.7</v>
      </c>
    </row>
    <row r="84" spans="1:11" ht="15.75" customHeight="1" x14ac:dyDescent="0.2">
      <c r="A84" s="6"/>
      <c r="B84" s="6"/>
      <c r="G84" s="20">
        <v>45365</v>
      </c>
      <c r="H84" s="22">
        <v>0.45833333333333331</v>
      </c>
      <c r="I84" s="21">
        <v>52.77</v>
      </c>
      <c r="J84" s="21">
        <v>23.01</v>
      </c>
      <c r="K84" s="21">
        <v>420.88</v>
      </c>
    </row>
    <row r="85" spans="1:11" ht="15.75" customHeight="1" x14ac:dyDescent="0.2">
      <c r="A85" s="6"/>
      <c r="B85" s="6"/>
      <c r="G85" s="20">
        <v>45365</v>
      </c>
      <c r="H85" s="22">
        <v>0.5</v>
      </c>
      <c r="I85" s="21">
        <v>51.71</v>
      </c>
      <c r="J85" s="21">
        <v>23.45</v>
      </c>
      <c r="K85" s="21">
        <v>415.06</v>
      </c>
    </row>
    <row r="86" spans="1:11" ht="15.75" customHeight="1" x14ac:dyDescent="0.2">
      <c r="A86" s="6"/>
      <c r="B86" s="6"/>
      <c r="G86" s="20">
        <v>45365</v>
      </c>
      <c r="H86" s="22">
        <v>0.54166666666666663</v>
      </c>
      <c r="I86" s="21">
        <v>51.49</v>
      </c>
      <c r="J86" s="21">
        <v>23.53</v>
      </c>
      <c r="K86" s="21">
        <v>409.79</v>
      </c>
    </row>
    <row r="87" spans="1:11" ht="15.75" customHeight="1" x14ac:dyDescent="0.2">
      <c r="A87" s="6"/>
      <c r="B87" s="6"/>
      <c r="G87" s="20">
        <v>45365</v>
      </c>
      <c r="H87" s="22">
        <v>0.58333333333333337</v>
      </c>
      <c r="I87" s="21">
        <v>51.77</v>
      </c>
      <c r="J87" s="21">
        <v>23.6</v>
      </c>
      <c r="K87" s="21">
        <v>410.9</v>
      </c>
    </row>
    <row r="88" spans="1:11" ht="15.75" customHeight="1" x14ac:dyDescent="0.2">
      <c r="A88" s="6"/>
      <c r="B88" s="6"/>
      <c r="G88" s="20">
        <v>45365</v>
      </c>
      <c r="H88" s="22">
        <v>0.625</v>
      </c>
      <c r="I88" s="21">
        <v>52.73</v>
      </c>
      <c r="J88" s="21">
        <v>24.75</v>
      </c>
      <c r="K88" s="21">
        <v>413.93</v>
      </c>
    </row>
    <row r="89" spans="1:11" ht="15.75" customHeight="1" x14ac:dyDescent="0.2">
      <c r="A89" s="6"/>
      <c r="B89" s="6"/>
      <c r="G89" s="20">
        <v>45365</v>
      </c>
      <c r="H89" s="22">
        <v>0.66666666666666663</v>
      </c>
      <c r="I89" s="21">
        <v>54.12</v>
      </c>
      <c r="J89" s="21">
        <v>25.03</v>
      </c>
      <c r="K89" s="21">
        <v>420.48</v>
      </c>
    </row>
    <row r="90" spans="1:11" ht="15.75" customHeight="1" x14ac:dyDescent="0.2">
      <c r="A90" s="6"/>
      <c r="B90" s="6"/>
      <c r="G90" s="20">
        <v>45365</v>
      </c>
      <c r="H90" s="22">
        <v>0.70833333333333337</v>
      </c>
      <c r="I90" s="21">
        <v>55.63</v>
      </c>
      <c r="J90" s="21">
        <v>22.91</v>
      </c>
      <c r="K90" s="21">
        <v>433.59</v>
      </c>
    </row>
    <row r="91" spans="1:11" ht="15.75" customHeight="1" x14ac:dyDescent="0.2">
      <c r="A91" s="6"/>
      <c r="B91" s="6"/>
      <c r="G91" s="20">
        <v>45365</v>
      </c>
      <c r="H91" s="22">
        <v>0.75</v>
      </c>
      <c r="I91" s="21">
        <v>57.56</v>
      </c>
      <c r="J91" s="21">
        <v>18.09</v>
      </c>
      <c r="K91" s="21">
        <v>440.81</v>
      </c>
    </row>
    <row r="92" spans="1:11" ht="15.75" customHeight="1" x14ac:dyDescent="0.2">
      <c r="A92" s="6"/>
      <c r="B92" s="6"/>
      <c r="G92" s="20">
        <v>45365</v>
      </c>
      <c r="H92" s="22">
        <v>0.79166666666666663</v>
      </c>
      <c r="I92" s="21">
        <v>59.62</v>
      </c>
      <c r="J92" s="21">
        <v>16.53</v>
      </c>
      <c r="K92" s="21">
        <v>449.21</v>
      </c>
    </row>
    <row r="93" spans="1:11" ht="15.75" customHeight="1" x14ac:dyDescent="0.2">
      <c r="A93" s="6"/>
      <c r="B93" s="6"/>
      <c r="G93" s="20">
        <v>45365</v>
      </c>
      <c r="H93" s="22">
        <v>0.83333333333333337</v>
      </c>
      <c r="I93" s="21">
        <v>61.2</v>
      </c>
      <c r="J93" s="21">
        <v>15.72</v>
      </c>
      <c r="K93" s="21">
        <v>454.31</v>
      </c>
    </row>
    <row r="94" spans="1:11" ht="15.75" customHeight="1" x14ac:dyDescent="0.2">
      <c r="A94" s="6"/>
      <c r="B94" s="6"/>
      <c r="G94" s="20">
        <v>45365</v>
      </c>
      <c r="H94" s="22">
        <v>0.875</v>
      </c>
      <c r="I94" s="21">
        <v>62.53</v>
      </c>
      <c r="J94" s="21">
        <v>15.21</v>
      </c>
      <c r="K94" s="21">
        <v>456.98</v>
      </c>
    </row>
    <row r="95" spans="1:11" ht="15.75" customHeight="1" x14ac:dyDescent="0.2">
      <c r="A95" s="6"/>
      <c r="B95" s="6"/>
      <c r="G95" s="20">
        <v>45365</v>
      </c>
      <c r="H95" s="22">
        <v>0.91666666666666663</v>
      </c>
      <c r="I95" s="21">
        <v>63.29</v>
      </c>
      <c r="J95" s="21">
        <v>14.61</v>
      </c>
      <c r="K95" s="21">
        <v>459.73</v>
      </c>
    </row>
    <row r="96" spans="1:11" ht="15.75" customHeight="1" x14ac:dyDescent="0.2">
      <c r="A96" s="6"/>
      <c r="B96" s="6"/>
      <c r="G96" s="20">
        <v>45366</v>
      </c>
      <c r="H96" s="22">
        <v>0.95833333333333337</v>
      </c>
      <c r="I96" s="21">
        <v>63.87</v>
      </c>
      <c r="J96" s="21">
        <v>13.82</v>
      </c>
      <c r="K96" s="21">
        <v>461.67</v>
      </c>
    </row>
    <row r="97" spans="1:11" ht="15.75" customHeight="1" x14ac:dyDescent="0.2">
      <c r="A97" s="6"/>
      <c r="B97" s="6"/>
      <c r="G97" s="20">
        <v>45366</v>
      </c>
      <c r="H97" s="22">
        <v>0</v>
      </c>
      <c r="I97" s="21">
        <v>64.319999999999993</v>
      </c>
      <c r="J97" s="21">
        <v>12.94</v>
      </c>
      <c r="K97" s="21">
        <v>464.9</v>
      </c>
    </row>
    <row r="98" spans="1:11" ht="15.75" customHeight="1" x14ac:dyDescent="0.2">
      <c r="A98" s="6"/>
      <c r="B98" s="6"/>
      <c r="G98" s="20">
        <v>45366</v>
      </c>
      <c r="H98" s="22">
        <v>4.1666666666666664E-2</v>
      </c>
      <c r="I98" s="21">
        <v>64.66</v>
      </c>
      <c r="J98" s="21">
        <v>12.49</v>
      </c>
      <c r="K98" s="21">
        <v>468.25</v>
      </c>
    </row>
    <row r="99" spans="1:11" ht="15.75" customHeight="1" x14ac:dyDescent="0.2">
      <c r="A99" s="6"/>
      <c r="B99" s="6"/>
      <c r="G99" s="20">
        <v>45366</v>
      </c>
      <c r="H99" s="22">
        <v>8.3333333333333329E-2</v>
      </c>
      <c r="I99" s="21">
        <v>64.97</v>
      </c>
      <c r="J99" s="21">
        <v>12.1</v>
      </c>
      <c r="K99" s="21">
        <v>472.27</v>
      </c>
    </row>
    <row r="100" spans="1:11" ht="15.75" customHeight="1" x14ac:dyDescent="0.2">
      <c r="A100" s="6"/>
      <c r="B100" s="6"/>
      <c r="G100" s="20">
        <v>45366</v>
      </c>
      <c r="H100" s="22">
        <v>0.125</v>
      </c>
      <c r="I100" s="21">
        <v>65.19</v>
      </c>
      <c r="J100" s="21">
        <v>12.02</v>
      </c>
      <c r="K100" s="21">
        <v>473.4</v>
      </c>
    </row>
    <row r="101" spans="1:11" ht="15.75" customHeight="1" x14ac:dyDescent="0.2">
      <c r="A101" s="6"/>
      <c r="B101" s="6"/>
      <c r="G101" s="20">
        <v>45366</v>
      </c>
      <c r="H101" s="22">
        <v>0.16666666666666666</v>
      </c>
      <c r="I101" s="21">
        <v>65.39</v>
      </c>
      <c r="J101" s="21">
        <v>11.89</v>
      </c>
      <c r="K101" s="21">
        <v>473.29</v>
      </c>
    </row>
    <row r="102" spans="1:11" ht="15.75" customHeight="1" x14ac:dyDescent="0.2">
      <c r="A102" s="6"/>
      <c r="B102" s="6"/>
      <c r="G102" s="20">
        <v>45366</v>
      </c>
      <c r="H102" s="22">
        <v>0.20833333333333334</v>
      </c>
      <c r="I102" s="21">
        <v>65.63</v>
      </c>
      <c r="J102" s="21">
        <v>11.81</v>
      </c>
      <c r="K102" s="21">
        <v>473.7</v>
      </c>
    </row>
    <row r="103" spans="1:11" ht="15.75" customHeight="1" x14ac:dyDescent="0.2">
      <c r="A103" s="6"/>
      <c r="B103" s="6"/>
      <c r="G103" s="20">
        <v>45366</v>
      </c>
      <c r="H103" s="22">
        <v>0.25</v>
      </c>
      <c r="I103" s="21">
        <v>64.97</v>
      </c>
      <c r="J103" s="21">
        <v>13.51</v>
      </c>
      <c r="K103" s="21">
        <v>463.16</v>
      </c>
    </row>
    <row r="104" spans="1:11" ht="15.75" customHeight="1" x14ac:dyDescent="0.2">
      <c r="A104" s="6"/>
      <c r="B104" s="6"/>
      <c r="G104" s="20">
        <v>45366</v>
      </c>
      <c r="H104" s="22">
        <v>0.29166666666666669</v>
      </c>
      <c r="I104" s="21">
        <v>60.45</v>
      </c>
      <c r="J104" s="21">
        <v>22.04</v>
      </c>
      <c r="K104" s="21">
        <v>440.17</v>
      </c>
    </row>
    <row r="105" spans="1:11" ht="15.75" customHeight="1" x14ac:dyDescent="0.2">
      <c r="A105" s="6"/>
      <c r="B105" s="6"/>
      <c r="G105" s="20">
        <v>45366</v>
      </c>
      <c r="H105" s="22">
        <v>0.33333333333333331</v>
      </c>
      <c r="I105" s="21">
        <v>56.7</v>
      </c>
      <c r="J105" s="21">
        <v>25</v>
      </c>
      <c r="K105" s="21">
        <v>437.51</v>
      </c>
    </row>
    <row r="106" spans="1:11" ht="15.75" customHeight="1" x14ac:dyDescent="0.2">
      <c r="A106" s="6"/>
      <c r="B106" s="6"/>
      <c r="G106" s="20">
        <v>45366</v>
      </c>
      <c r="H106" s="22">
        <v>0.375</v>
      </c>
      <c r="I106" s="21">
        <v>52.45</v>
      </c>
      <c r="J106" s="21">
        <v>24.44</v>
      </c>
      <c r="K106" s="21">
        <v>427.39</v>
      </c>
    </row>
    <row r="107" spans="1:11" ht="15.75" customHeight="1" x14ac:dyDescent="0.2">
      <c r="A107" s="6"/>
      <c r="B107" s="6"/>
      <c r="G107" s="15">
        <v>45366</v>
      </c>
      <c r="H107" s="22">
        <v>0.41666666666666669</v>
      </c>
      <c r="I107" s="21">
        <v>47.81</v>
      </c>
      <c r="J107" s="21">
        <v>26.82</v>
      </c>
      <c r="K107" s="12">
        <v>407.63</v>
      </c>
    </row>
    <row r="108" spans="1:11" ht="15.75" customHeight="1" x14ac:dyDescent="0.15">
      <c r="A108" s="6"/>
      <c r="B108" s="6"/>
      <c r="G108" s="15">
        <v>45366</v>
      </c>
      <c r="H108" s="16">
        <v>0.45833333333333331</v>
      </c>
      <c r="I108" s="12">
        <v>43.73</v>
      </c>
      <c r="J108" s="12">
        <v>28.62</v>
      </c>
      <c r="K108" s="12">
        <v>405.81</v>
      </c>
    </row>
    <row r="109" spans="1:11" ht="15.75" customHeight="1" x14ac:dyDescent="0.15">
      <c r="A109" s="6"/>
      <c r="B109" s="6"/>
      <c r="G109" s="15">
        <v>45366</v>
      </c>
      <c r="H109" s="16">
        <v>0.5</v>
      </c>
      <c r="I109" s="12">
        <v>41.79</v>
      </c>
      <c r="J109" s="12">
        <v>29.17</v>
      </c>
      <c r="K109" s="12">
        <v>402.22</v>
      </c>
    </row>
    <row r="110" spans="1:11" ht="15.75" customHeight="1" x14ac:dyDescent="0.15">
      <c r="A110" s="6"/>
      <c r="B110" s="6"/>
      <c r="G110" s="15">
        <v>45366</v>
      </c>
      <c r="H110" s="16">
        <v>0.54166666666666663</v>
      </c>
      <c r="I110" s="12">
        <v>41.27</v>
      </c>
      <c r="J110" s="12">
        <v>28.31</v>
      </c>
      <c r="K110" s="12">
        <v>409.27</v>
      </c>
    </row>
    <row r="111" spans="1:11" ht="15.75" customHeight="1" x14ac:dyDescent="0.15">
      <c r="A111" s="6"/>
      <c r="B111" s="6"/>
      <c r="G111" s="15">
        <v>45366</v>
      </c>
      <c r="H111" s="16">
        <v>0.58333333333333337</v>
      </c>
      <c r="I111" s="12">
        <v>41.16</v>
      </c>
      <c r="J111" s="12">
        <v>27.69</v>
      </c>
      <c r="K111" s="12">
        <v>410.63</v>
      </c>
    </row>
    <row r="112" spans="1:11" ht="15.75" customHeight="1" x14ac:dyDescent="0.15">
      <c r="A112" s="6"/>
      <c r="B112" s="6"/>
      <c r="G112" s="15">
        <v>45366</v>
      </c>
      <c r="H112" s="16">
        <v>0.625</v>
      </c>
      <c r="I112" s="12">
        <v>42.03</v>
      </c>
      <c r="J112" s="12">
        <v>25.52</v>
      </c>
      <c r="K112" s="12">
        <v>414.24</v>
      </c>
    </row>
    <row r="113" spans="1:11" ht="15.75" customHeight="1" x14ac:dyDescent="0.15">
      <c r="A113" s="6"/>
      <c r="B113" s="6"/>
      <c r="G113" s="15">
        <v>45366</v>
      </c>
      <c r="H113" s="16">
        <v>0.66666666666666663</v>
      </c>
      <c r="I113" s="12">
        <v>44.62</v>
      </c>
      <c r="J113" s="12">
        <v>23.87</v>
      </c>
      <c r="K113" s="12">
        <v>426.58</v>
      </c>
    </row>
    <row r="114" spans="1:11" ht="15.75" customHeight="1" x14ac:dyDescent="0.15">
      <c r="A114" s="6"/>
      <c r="B114" s="6"/>
      <c r="G114" s="15">
        <v>45366</v>
      </c>
      <c r="H114" s="16">
        <v>0.70833333333333337</v>
      </c>
      <c r="I114" s="12">
        <v>48.35</v>
      </c>
      <c r="J114" s="12">
        <v>22.46</v>
      </c>
      <c r="K114" s="12">
        <v>451.99</v>
      </c>
    </row>
    <row r="115" spans="1:11" ht="15.75" customHeight="1" x14ac:dyDescent="0.15">
      <c r="A115" s="6"/>
      <c r="B115" s="6"/>
      <c r="G115" s="15">
        <v>45366</v>
      </c>
      <c r="H115" s="16">
        <v>0.75</v>
      </c>
      <c r="I115" s="12">
        <v>51.05</v>
      </c>
      <c r="J115" s="12">
        <v>18.48</v>
      </c>
      <c r="K115" s="12">
        <v>463.19</v>
      </c>
    </row>
    <row r="116" spans="1:11" ht="15.75" customHeight="1" x14ac:dyDescent="0.15">
      <c r="A116" s="6"/>
      <c r="B116" s="6"/>
      <c r="G116" s="15">
        <v>45366</v>
      </c>
      <c r="H116" s="16">
        <v>0.79166666666666663</v>
      </c>
      <c r="I116" s="12">
        <v>53.51</v>
      </c>
      <c r="J116" s="12">
        <v>17.100000000000001</v>
      </c>
      <c r="K116" s="12">
        <v>468.3</v>
      </c>
    </row>
    <row r="117" spans="1:11" ht="15.75" customHeight="1" x14ac:dyDescent="0.15">
      <c r="A117" s="6"/>
      <c r="B117" s="6"/>
      <c r="G117" s="15">
        <v>45366</v>
      </c>
      <c r="H117" s="16">
        <v>0.83333333333333337</v>
      </c>
      <c r="I117" s="12">
        <v>55.56</v>
      </c>
      <c r="J117" s="12">
        <v>15.99</v>
      </c>
      <c r="K117" s="12">
        <v>473.75</v>
      </c>
    </row>
    <row r="118" spans="1:11" ht="15.75" customHeight="1" x14ac:dyDescent="0.15">
      <c r="A118" s="6"/>
      <c r="B118" s="6"/>
      <c r="G118" s="15">
        <v>45366</v>
      </c>
      <c r="H118" s="16">
        <v>0.875</v>
      </c>
      <c r="I118" s="12">
        <v>56.99</v>
      </c>
      <c r="J118" s="12">
        <v>15.33</v>
      </c>
      <c r="K118" s="12">
        <v>476.62</v>
      </c>
    </row>
    <row r="119" spans="1:11" ht="15.75" customHeight="1" x14ac:dyDescent="0.15">
      <c r="A119" s="6"/>
      <c r="B119" s="6"/>
      <c r="G119" s="15">
        <v>45366</v>
      </c>
      <c r="H119" s="16">
        <v>0.91666666666666663</v>
      </c>
      <c r="I119" s="12">
        <v>58.4</v>
      </c>
      <c r="J119" s="12">
        <v>14.82</v>
      </c>
      <c r="K119" s="12">
        <v>478.72</v>
      </c>
    </row>
    <row r="120" spans="1:11" ht="15.75" customHeight="1" x14ac:dyDescent="0.15">
      <c r="A120" s="6"/>
      <c r="B120" s="6"/>
      <c r="G120" s="15">
        <v>45367</v>
      </c>
      <c r="H120" s="16">
        <v>0.95833333333333337</v>
      </c>
      <c r="I120" s="12">
        <v>59.61</v>
      </c>
      <c r="J120" s="12">
        <v>14.65</v>
      </c>
      <c r="K120" s="12">
        <v>480.12</v>
      </c>
    </row>
    <row r="121" spans="1:11" ht="15.75" customHeight="1" x14ac:dyDescent="0.15">
      <c r="A121" s="6"/>
      <c r="B121" s="6"/>
      <c r="G121" s="15">
        <v>45367</v>
      </c>
      <c r="H121" s="16">
        <v>0</v>
      </c>
      <c r="I121" s="12">
        <v>60.26</v>
      </c>
      <c r="J121" s="12">
        <v>14.22</v>
      </c>
      <c r="K121" s="12">
        <v>482.13</v>
      </c>
    </row>
    <row r="122" spans="1:11" ht="15.75" customHeight="1" x14ac:dyDescent="0.15">
      <c r="A122" s="6"/>
      <c r="B122" s="6"/>
      <c r="G122" s="15">
        <v>45367</v>
      </c>
      <c r="H122" s="16">
        <v>4.1666666666666664E-2</v>
      </c>
      <c r="I122" s="12">
        <v>60.78</v>
      </c>
      <c r="J122" s="12">
        <v>13.9</v>
      </c>
      <c r="K122" s="12">
        <v>485.68</v>
      </c>
    </row>
    <row r="123" spans="1:11" ht="15.75" customHeight="1" x14ac:dyDescent="0.15">
      <c r="A123" s="6"/>
      <c r="B123" s="6"/>
      <c r="G123" s="15">
        <v>45367</v>
      </c>
      <c r="H123" s="16">
        <v>8.3333333333333329E-2</v>
      </c>
      <c r="I123" s="12">
        <v>61.41</v>
      </c>
      <c r="J123" s="12">
        <v>13.95</v>
      </c>
      <c r="K123" s="12">
        <v>488.24</v>
      </c>
    </row>
    <row r="124" spans="1:11" ht="15.75" customHeight="1" x14ac:dyDescent="0.15">
      <c r="A124" s="6"/>
      <c r="B124" s="6"/>
      <c r="G124" s="15">
        <v>45367</v>
      </c>
      <c r="H124" s="16">
        <v>0.125</v>
      </c>
      <c r="I124" s="12">
        <v>61.57</v>
      </c>
      <c r="J124" s="12">
        <v>13.76</v>
      </c>
      <c r="K124" s="12">
        <v>487.13</v>
      </c>
    </row>
    <row r="125" spans="1:11" ht="15.75" customHeight="1" x14ac:dyDescent="0.15">
      <c r="A125" s="6"/>
      <c r="B125" s="6"/>
      <c r="G125" s="15">
        <v>45367</v>
      </c>
      <c r="H125" s="16">
        <v>0.16666666666666666</v>
      </c>
      <c r="I125" s="12">
        <v>62.15</v>
      </c>
      <c r="J125" s="12">
        <v>13.78</v>
      </c>
      <c r="K125" s="12">
        <v>488.7</v>
      </c>
    </row>
    <row r="126" spans="1:11" ht="15.75" customHeight="1" x14ac:dyDescent="0.15">
      <c r="A126" s="6"/>
      <c r="B126" s="6"/>
      <c r="G126" s="15">
        <v>45367</v>
      </c>
      <c r="H126" s="16">
        <v>0.20833333333333334</v>
      </c>
      <c r="I126" s="12">
        <v>62.44</v>
      </c>
      <c r="J126" s="12">
        <v>13.63</v>
      </c>
      <c r="K126" s="12">
        <v>490.52</v>
      </c>
    </row>
    <row r="127" spans="1:11" ht="15.75" customHeight="1" x14ac:dyDescent="0.15">
      <c r="A127" s="6"/>
      <c r="B127" s="6"/>
      <c r="G127" s="15">
        <v>45367</v>
      </c>
      <c r="H127" s="16">
        <v>0.25</v>
      </c>
      <c r="I127" s="12">
        <v>62.57</v>
      </c>
      <c r="J127" s="12">
        <v>14.25</v>
      </c>
      <c r="K127" s="12">
        <v>486.25</v>
      </c>
    </row>
    <row r="128" spans="1:11" ht="15.75" customHeight="1" x14ac:dyDescent="0.15">
      <c r="A128" s="6"/>
      <c r="B128" s="6"/>
      <c r="G128" s="15">
        <v>45367</v>
      </c>
      <c r="H128" s="16">
        <v>0.29166666666666669</v>
      </c>
      <c r="I128" s="12">
        <v>60.54</v>
      </c>
      <c r="J128" s="12">
        <v>18.309999999999999</v>
      </c>
      <c r="K128" s="12">
        <v>460.22</v>
      </c>
    </row>
    <row r="129" spans="1:11" ht="15.75" customHeight="1" x14ac:dyDescent="0.15">
      <c r="A129" s="6"/>
      <c r="B129" s="6"/>
      <c r="G129" s="15">
        <v>45367</v>
      </c>
      <c r="H129" s="16">
        <v>0.33333333333333331</v>
      </c>
      <c r="I129" s="12">
        <v>59.66</v>
      </c>
      <c r="J129" s="12">
        <v>22.94</v>
      </c>
      <c r="K129" s="12">
        <v>448.27</v>
      </c>
    </row>
    <row r="130" spans="1:11" ht="15.75" customHeight="1" x14ac:dyDescent="0.15">
      <c r="A130" s="6"/>
      <c r="B130" s="6"/>
      <c r="G130" s="15">
        <v>45367</v>
      </c>
      <c r="H130" s="16">
        <v>0.375</v>
      </c>
      <c r="I130" s="12">
        <v>57.39</v>
      </c>
      <c r="J130" s="12">
        <v>25.55</v>
      </c>
      <c r="K130" s="12">
        <v>441.87</v>
      </c>
    </row>
    <row r="131" spans="1:11" ht="15.75" customHeight="1" x14ac:dyDescent="0.15">
      <c r="A131" s="6"/>
      <c r="B131" s="6"/>
      <c r="G131" s="15">
        <v>45367</v>
      </c>
      <c r="H131" s="16">
        <v>0.41666666666666669</v>
      </c>
      <c r="I131" s="12">
        <v>55.42</v>
      </c>
      <c r="J131" s="12">
        <v>26.09</v>
      </c>
      <c r="K131" s="12">
        <v>431.68</v>
      </c>
    </row>
    <row r="132" spans="1:11" ht="15.75" customHeight="1" x14ac:dyDescent="0.15">
      <c r="A132" s="6"/>
      <c r="B132" s="6"/>
      <c r="G132" s="15">
        <v>45367</v>
      </c>
      <c r="H132" s="16">
        <v>0.45833333333333331</v>
      </c>
      <c r="I132" s="12">
        <v>51.7</v>
      </c>
      <c r="J132" s="12">
        <v>24.97</v>
      </c>
      <c r="K132" s="12">
        <v>425.75</v>
      </c>
    </row>
    <row r="133" spans="1:11" ht="15.75" customHeight="1" x14ac:dyDescent="0.15">
      <c r="A133" s="6"/>
      <c r="B133" s="6"/>
      <c r="G133" s="15">
        <v>45367</v>
      </c>
      <c r="H133" s="16">
        <v>0.5</v>
      </c>
      <c r="I133" s="12">
        <v>50.33</v>
      </c>
      <c r="J133" s="12">
        <v>25.54</v>
      </c>
      <c r="K133" s="12">
        <v>424.06</v>
      </c>
    </row>
    <row r="134" spans="1:11" ht="15.75" customHeight="1" x14ac:dyDescent="0.15">
      <c r="A134" s="6"/>
      <c r="B134" s="6"/>
      <c r="G134" s="15">
        <v>45367</v>
      </c>
      <c r="H134" s="16">
        <v>0.54166666666666663</v>
      </c>
      <c r="I134" s="12">
        <v>50.63</v>
      </c>
      <c r="J134" s="12">
        <v>23.13</v>
      </c>
      <c r="K134" s="12">
        <v>421.97</v>
      </c>
    </row>
    <row r="135" spans="1:11" ht="15.75" customHeight="1" x14ac:dyDescent="0.15">
      <c r="A135" s="6"/>
      <c r="B135" s="6"/>
      <c r="G135" s="15">
        <v>45367</v>
      </c>
      <c r="H135" s="16">
        <v>0.58333333333333337</v>
      </c>
      <c r="I135" s="12">
        <v>51.83</v>
      </c>
      <c r="J135" s="12">
        <v>25.06</v>
      </c>
      <c r="K135" s="12">
        <v>418.29</v>
      </c>
    </row>
    <row r="136" spans="1:11" ht="15.75" customHeight="1" x14ac:dyDescent="0.15">
      <c r="A136" s="6"/>
      <c r="B136" s="6"/>
      <c r="G136" s="15">
        <v>45367</v>
      </c>
      <c r="H136" s="16">
        <v>0.625</v>
      </c>
      <c r="I136" s="12">
        <v>52.16</v>
      </c>
      <c r="J136" s="12">
        <v>25.27</v>
      </c>
      <c r="K136" s="12">
        <v>420.59</v>
      </c>
    </row>
    <row r="137" spans="1:11" ht="15.75" customHeight="1" x14ac:dyDescent="0.15">
      <c r="A137" s="6"/>
      <c r="B137" s="6"/>
      <c r="G137" s="15">
        <v>45367</v>
      </c>
      <c r="H137" s="16">
        <v>0.66666666666666663</v>
      </c>
      <c r="I137" s="12">
        <v>53.4</v>
      </c>
      <c r="J137" s="12">
        <v>23.98</v>
      </c>
      <c r="K137" s="12">
        <v>429.33</v>
      </c>
    </row>
    <row r="138" spans="1:11" ht="15.75" customHeight="1" x14ac:dyDescent="0.15">
      <c r="A138" s="6"/>
      <c r="B138" s="6"/>
      <c r="G138" s="15">
        <v>45367</v>
      </c>
      <c r="H138" s="16">
        <v>0.70833333333333337</v>
      </c>
      <c r="I138" s="12">
        <v>54.89</v>
      </c>
      <c r="J138" s="12">
        <v>20.59</v>
      </c>
      <c r="K138" s="12">
        <v>443.07</v>
      </c>
    </row>
    <row r="139" spans="1:11" ht="15.75" customHeight="1" x14ac:dyDescent="0.15">
      <c r="A139" s="6"/>
      <c r="B139" s="6"/>
      <c r="G139" s="15">
        <v>45367</v>
      </c>
      <c r="H139" s="16">
        <v>0.75</v>
      </c>
      <c r="I139" s="12">
        <v>56.02</v>
      </c>
      <c r="J139" s="12">
        <v>17.989999999999998</v>
      </c>
      <c r="K139" s="12">
        <v>449.4</v>
      </c>
    </row>
    <row r="140" spans="1:11" ht="15.75" customHeight="1" x14ac:dyDescent="0.15">
      <c r="A140" s="6"/>
      <c r="B140" s="6"/>
      <c r="G140" s="15">
        <v>45367</v>
      </c>
      <c r="H140" s="16">
        <v>0.79166666666666663</v>
      </c>
      <c r="I140" s="12">
        <v>57.85</v>
      </c>
      <c r="J140" s="12">
        <v>16.38</v>
      </c>
      <c r="K140" s="12">
        <v>452.74</v>
      </c>
    </row>
    <row r="141" spans="1:11" ht="15.75" customHeight="1" x14ac:dyDescent="0.15">
      <c r="A141" s="6"/>
      <c r="B141" s="6"/>
      <c r="G141" s="15">
        <v>45367</v>
      </c>
      <c r="H141" s="16">
        <v>0.83333333333333337</v>
      </c>
      <c r="I141" s="12">
        <v>58.95</v>
      </c>
      <c r="J141" s="12">
        <v>16.61</v>
      </c>
      <c r="K141" s="12">
        <v>455.88</v>
      </c>
    </row>
    <row r="142" spans="1:11" ht="15.75" customHeight="1" x14ac:dyDescent="0.15">
      <c r="A142" s="6"/>
      <c r="B142" s="6"/>
      <c r="G142" s="15">
        <v>45367</v>
      </c>
      <c r="H142" s="16">
        <v>0.875</v>
      </c>
      <c r="I142" s="12">
        <v>59.17</v>
      </c>
      <c r="J142" s="12">
        <v>16.670000000000002</v>
      </c>
      <c r="K142" s="12">
        <v>457.9</v>
      </c>
    </row>
    <row r="143" spans="1:11" ht="15.75" customHeight="1" x14ac:dyDescent="0.15">
      <c r="A143" s="6"/>
      <c r="B143" s="6"/>
      <c r="G143" s="15">
        <v>45367</v>
      </c>
      <c r="H143" s="16">
        <v>0.91666666666666663</v>
      </c>
      <c r="I143" s="12">
        <v>59.54</v>
      </c>
      <c r="J143" s="12">
        <v>16.66</v>
      </c>
      <c r="K143" s="12">
        <v>457.03</v>
      </c>
    </row>
    <row r="144" spans="1:11" ht="15.75" customHeight="1" x14ac:dyDescent="0.15">
      <c r="A144" s="6"/>
      <c r="B144" s="6"/>
      <c r="G144" s="15">
        <v>45368</v>
      </c>
      <c r="H144" s="16">
        <v>0.95833333333333337</v>
      </c>
      <c r="I144" s="12">
        <v>60.05</v>
      </c>
      <c r="J144" s="12">
        <v>16.27</v>
      </c>
      <c r="K144" s="12">
        <v>461.29</v>
      </c>
    </row>
    <row r="145" spans="1:11" ht="15.75" customHeight="1" x14ac:dyDescent="0.15">
      <c r="A145" s="6"/>
      <c r="B145" s="6"/>
      <c r="G145" s="15">
        <v>45368</v>
      </c>
      <c r="H145" s="16">
        <v>0</v>
      </c>
      <c r="I145" s="12">
        <v>61.43</v>
      </c>
      <c r="J145" s="12">
        <v>15.7</v>
      </c>
      <c r="K145" s="12">
        <v>461.88</v>
      </c>
    </row>
    <row r="146" spans="1:11" ht="15.75" customHeight="1" x14ac:dyDescent="0.15">
      <c r="A146" s="6"/>
      <c r="B146" s="6"/>
      <c r="G146" s="15">
        <v>45368</v>
      </c>
      <c r="H146" s="16">
        <v>4.1666666666666664E-2</v>
      </c>
      <c r="I146" s="12">
        <v>62.44</v>
      </c>
      <c r="J146" s="12">
        <v>15.27</v>
      </c>
      <c r="K146" s="12">
        <v>463.52</v>
      </c>
    </row>
    <row r="147" spans="1:11" ht="15.75" customHeight="1" x14ac:dyDescent="0.15">
      <c r="A147" s="6"/>
      <c r="B147" s="6"/>
      <c r="G147" s="15">
        <v>45368</v>
      </c>
      <c r="H147" s="16">
        <v>8.3333333333333329E-2</v>
      </c>
      <c r="I147" s="12">
        <v>62.85</v>
      </c>
      <c r="J147" s="12">
        <v>15.26</v>
      </c>
      <c r="K147" s="12">
        <v>465.98</v>
      </c>
    </row>
    <row r="148" spans="1:11" ht="15.75" customHeight="1" x14ac:dyDescent="0.15">
      <c r="A148" s="6"/>
      <c r="B148" s="6"/>
      <c r="G148" s="15">
        <v>45368</v>
      </c>
      <c r="H148" s="16">
        <v>0.125</v>
      </c>
      <c r="I148" s="12">
        <v>63.86</v>
      </c>
      <c r="J148" s="12">
        <v>14.61</v>
      </c>
      <c r="K148" s="12">
        <v>465.71</v>
      </c>
    </row>
    <row r="149" spans="1:11" ht="15.75" customHeight="1" x14ac:dyDescent="0.15">
      <c r="A149" s="6"/>
      <c r="B149" s="6"/>
      <c r="G149" s="15">
        <v>45368</v>
      </c>
      <c r="H149" s="16">
        <v>0.16666666666666666</v>
      </c>
      <c r="I149" s="12">
        <v>64.09</v>
      </c>
      <c r="J149" s="12">
        <v>14.64</v>
      </c>
      <c r="K149" s="12">
        <v>468.13</v>
      </c>
    </row>
    <row r="150" spans="1:11" ht="15.75" customHeight="1" x14ac:dyDescent="0.15">
      <c r="A150" s="6"/>
      <c r="B150" s="6"/>
      <c r="G150" s="15">
        <v>45368</v>
      </c>
      <c r="H150" s="16">
        <v>0.20833333333333334</v>
      </c>
      <c r="I150" s="12">
        <v>64.83</v>
      </c>
      <c r="J150" s="12">
        <v>14.55</v>
      </c>
      <c r="K150" s="12">
        <v>468.94</v>
      </c>
    </row>
    <row r="151" spans="1:11" ht="15.75" customHeight="1" x14ac:dyDescent="0.15">
      <c r="A151" s="6"/>
      <c r="B151" s="6"/>
      <c r="G151" s="15">
        <v>45368</v>
      </c>
      <c r="H151" s="16">
        <v>0.25</v>
      </c>
      <c r="I151" s="12">
        <v>64.33</v>
      </c>
      <c r="J151" s="12">
        <v>15.52</v>
      </c>
      <c r="K151" s="12">
        <v>463</v>
      </c>
    </row>
    <row r="152" spans="1:11" ht="15.75" customHeight="1" x14ac:dyDescent="0.15">
      <c r="A152" s="6"/>
      <c r="B152" s="6"/>
      <c r="G152" s="15">
        <v>45368</v>
      </c>
      <c r="H152" s="16">
        <v>0.29166666666666669</v>
      </c>
      <c r="I152" s="12">
        <v>61.97</v>
      </c>
      <c r="J152" s="12">
        <v>18.64</v>
      </c>
      <c r="K152" s="12">
        <v>441.59</v>
      </c>
    </row>
    <row r="153" spans="1:11" ht="15.75" customHeight="1" x14ac:dyDescent="0.15">
      <c r="A153" s="6"/>
      <c r="B153" s="6"/>
      <c r="G153" s="15">
        <v>45368</v>
      </c>
      <c r="H153" s="16">
        <v>0.33333333333333331</v>
      </c>
      <c r="I153" s="12">
        <v>59.39</v>
      </c>
      <c r="J153" s="12">
        <v>23.99</v>
      </c>
      <c r="K153" s="12">
        <v>430.47</v>
      </c>
    </row>
    <row r="154" spans="1:11" ht="15.75" customHeight="1" x14ac:dyDescent="0.15">
      <c r="A154" s="6"/>
      <c r="B154" s="6"/>
      <c r="G154" s="15">
        <v>45368</v>
      </c>
      <c r="H154" s="16">
        <v>0.375</v>
      </c>
      <c r="I154" s="12">
        <v>56.92</v>
      </c>
      <c r="J154" s="12">
        <v>24.44</v>
      </c>
      <c r="K154" s="12">
        <v>425.77</v>
      </c>
    </row>
    <row r="155" spans="1:11" ht="15.75" customHeight="1" x14ac:dyDescent="0.2">
      <c r="A155" s="6"/>
      <c r="B155" s="6"/>
      <c r="G155" s="20">
        <v>45368</v>
      </c>
      <c r="H155" s="16">
        <v>0.41666666666666669</v>
      </c>
      <c r="I155" s="12">
        <v>56.81</v>
      </c>
      <c r="J155" s="12">
        <v>24.8</v>
      </c>
      <c r="K155" s="21">
        <v>417.37</v>
      </c>
    </row>
    <row r="156" spans="1:11" ht="15.75" customHeight="1" x14ac:dyDescent="0.2">
      <c r="A156" s="6"/>
      <c r="B156" s="6"/>
      <c r="G156" s="20">
        <v>45368</v>
      </c>
      <c r="H156" s="22">
        <v>0.45833333333333331</v>
      </c>
      <c r="I156" s="21">
        <v>54.35</v>
      </c>
      <c r="J156" s="21">
        <v>24.1</v>
      </c>
      <c r="K156" s="21">
        <v>405.31</v>
      </c>
    </row>
    <row r="157" spans="1:11" ht="15.75" customHeight="1" x14ac:dyDescent="0.2">
      <c r="A157" s="6"/>
      <c r="B157" s="6"/>
      <c r="G157" s="20">
        <v>45368</v>
      </c>
      <c r="H157" s="22">
        <v>0.5</v>
      </c>
      <c r="I157" s="21">
        <v>52.76</v>
      </c>
      <c r="J157" s="21">
        <v>23.84</v>
      </c>
      <c r="K157" s="21">
        <v>402.42</v>
      </c>
    </row>
    <row r="158" spans="1:11" ht="15.75" customHeight="1" x14ac:dyDescent="0.2">
      <c r="A158" s="6"/>
      <c r="B158" s="6"/>
      <c r="G158" s="20">
        <v>45368</v>
      </c>
      <c r="H158" s="22">
        <v>0.54166666666666663</v>
      </c>
      <c r="I158" s="21">
        <v>53.16</v>
      </c>
      <c r="J158" s="21">
        <v>23.89</v>
      </c>
      <c r="K158" s="21">
        <v>401.85</v>
      </c>
    </row>
    <row r="159" spans="1:11" ht="15.75" customHeight="1" x14ac:dyDescent="0.2">
      <c r="A159" s="6"/>
      <c r="B159" s="6"/>
      <c r="G159" s="20">
        <v>45368</v>
      </c>
      <c r="H159" s="22">
        <v>0.58333333333333337</v>
      </c>
      <c r="I159" s="21">
        <v>53.72</v>
      </c>
      <c r="J159" s="21">
        <v>23.83</v>
      </c>
      <c r="K159" s="21">
        <v>408.23</v>
      </c>
    </row>
    <row r="160" spans="1:11" ht="15.75" customHeight="1" x14ac:dyDescent="0.2">
      <c r="A160" s="6"/>
      <c r="B160" s="6"/>
      <c r="G160" s="20">
        <v>45368</v>
      </c>
      <c r="H160" s="22">
        <v>0.625</v>
      </c>
      <c r="I160" s="21">
        <v>54.46</v>
      </c>
      <c r="J160" s="21">
        <v>26.22</v>
      </c>
      <c r="K160" s="21">
        <v>406.73</v>
      </c>
    </row>
    <row r="161" spans="1:11" ht="15.75" customHeight="1" x14ac:dyDescent="0.2">
      <c r="A161" s="6"/>
      <c r="B161" s="6"/>
      <c r="G161" s="20">
        <v>45368</v>
      </c>
      <c r="H161" s="22">
        <v>0.66666666666666663</v>
      </c>
      <c r="I161" s="21">
        <v>55.52</v>
      </c>
      <c r="J161" s="21">
        <v>24.76</v>
      </c>
      <c r="K161" s="21">
        <v>422.79</v>
      </c>
    </row>
    <row r="162" spans="1:11" ht="15.75" customHeight="1" x14ac:dyDescent="0.2">
      <c r="A162" s="6"/>
      <c r="B162" s="6"/>
      <c r="G162" s="20">
        <v>45368</v>
      </c>
      <c r="H162" s="22">
        <v>0.70833333333333337</v>
      </c>
      <c r="I162" s="21">
        <v>56.78</v>
      </c>
      <c r="J162" s="21">
        <v>21.09</v>
      </c>
      <c r="K162" s="21">
        <v>444.77</v>
      </c>
    </row>
    <row r="163" spans="1:11" ht="15.75" customHeight="1" x14ac:dyDescent="0.2">
      <c r="A163" s="6"/>
      <c r="B163" s="6"/>
      <c r="G163" s="20">
        <v>45368</v>
      </c>
      <c r="H163" s="22">
        <v>0.75</v>
      </c>
      <c r="I163" s="21">
        <v>58.65</v>
      </c>
      <c r="J163" s="21">
        <v>17.61</v>
      </c>
      <c r="K163" s="21">
        <v>449.64</v>
      </c>
    </row>
    <row r="164" spans="1:11" ht="15.75" customHeight="1" x14ac:dyDescent="0.2">
      <c r="A164" s="6"/>
      <c r="B164" s="6"/>
      <c r="G164" s="20">
        <v>45368</v>
      </c>
      <c r="H164" s="22">
        <v>0.79166666666666663</v>
      </c>
      <c r="I164" s="21">
        <v>60.44</v>
      </c>
      <c r="J164" s="21">
        <v>16.489999999999998</v>
      </c>
      <c r="K164" s="21">
        <v>455</v>
      </c>
    </row>
    <row r="165" spans="1:11" ht="15.75" customHeight="1" x14ac:dyDescent="0.2">
      <c r="A165" s="6"/>
      <c r="B165" s="6"/>
      <c r="G165" s="20">
        <v>45368</v>
      </c>
      <c r="H165" s="22">
        <v>0.83333333333333337</v>
      </c>
      <c r="I165" s="21">
        <v>61.2</v>
      </c>
      <c r="J165" s="21">
        <v>16.68</v>
      </c>
      <c r="K165" s="21">
        <v>457.99</v>
      </c>
    </row>
    <row r="166" spans="1:11" ht="15.75" customHeight="1" x14ac:dyDescent="0.2">
      <c r="A166" s="6"/>
      <c r="B166" s="6"/>
      <c r="G166" s="20">
        <v>45368</v>
      </c>
      <c r="H166" s="22">
        <v>0.875</v>
      </c>
      <c r="I166" s="21">
        <v>61.52</v>
      </c>
      <c r="J166" s="21">
        <v>16.36</v>
      </c>
      <c r="K166" s="21">
        <v>463.07</v>
      </c>
    </row>
    <row r="167" spans="1:11" ht="15.75" customHeight="1" x14ac:dyDescent="0.2">
      <c r="A167" s="6"/>
      <c r="B167" s="6"/>
      <c r="G167" s="20">
        <v>45368</v>
      </c>
      <c r="H167" s="22">
        <v>0.91666666666666663</v>
      </c>
      <c r="I167" s="21">
        <v>62.06</v>
      </c>
      <c r="J167" s="21">
        <v>15.92</v>
      </c>
      <c r="K167" s="21">
        <v>470.9</v>
      </c>
    </row>
    <row r="168" spans="1:11" ht="15.75" customHeight="1" x14ac:dyDescent="0.2">
      <c r="A168" s="6"/>
      <c r="B168" s="6"/>
      <c r="G168" s="20">
        <v>45369</v>
      </c>
      <c r="H168" s="22">
        <v>0.95833333333333337</v>
      </c>
      <c r="I168" s="21">
        <v>63.66</v>
      </c>
      <c r="J168" s="21">
        <v>15</v>
      </c>
      <c r="K168" s="21">
        <v>472.07</v>
      </c>
    </row>
    <row r="169" spans="1:11" ht="15.75" customHeight="1" x14ac:dyDescent="0.2">
      <c r="A169" s="6"/>
      <c r="B169" s="6"/>
      <c r="G169" s="20">
        <v>45369</v>
      </c>
      <c r="H169" s="22">
        <v>0</v>
      </c>
      <c r="I169" s="21">
        <v>63.85</v>
      </c>
      <c r="J169" s="21">
        <v>15.32</v>
      </c>
      <c r="K169" s="21">
        <v>472.53</v>
      </c>
    </row>
    <row r="170" spans="1:11" ht="15.75" customHeight="1" x14ac:dyDescent="0.2">
      <c r="A170" s="6"/>
      <c r="B170" s="6"/>
      <c r="G170" s="20">
        <v>45369</v>
      </c>
      <c r="H170" s="22">
        <v>4.1666666666666664E-2</v>
      </c>
      <c r="I170" s="21">
        <v>63.29</v>
      </c>
      <c r="J170" s="21">
        <v>15.92</v>
      </c>
      <c r="K170" s="21">
        <v>476.25</v>
      </c>
    </row>
    <row r="171" spans="1:11" ht="15.75" customHeight="1" x14ac:dyDescent="0.2">
      <c r="A171" s="6"/>
      <c r="B171" s="6"/>
      <c r="G171" s="20">
        <v>45369</v>
      </c>
      <c r="H171" s="22">
        <v>8.3333333333333329E-2</v>
      </c>
      <c r="I171" s="21">
        <v>64.56</v>
      </c>
      <c r="J171" s="21">
        <v>15.57</v>
      </c>
      <c r="K171" s="21">
        <v>478.43</v>
      </c>
    </row>
    <row r="172" spans="1:11" ht="15.75" customHeight="1" x14ac:dyDescent="0.2">
      <c r="A172" s="6"/>
      <c r="B172" s="6"/>
      <c r="G172" s="20">
        <v>45369</v>
      </c>
      <c r="H172" s="22">
        <v>0.125</v>
      </c>
      <c r="I172" s="21">
        <v>65.58</v>
      </c>
      <c r="J172" s="21">
        <v>15.3</v>
      </c>
      <c r="K172" s="21">
        <v>479.2</v>
      </c>
    </row>
    <row r="173" spans="1:11" ht="15.75" customHeight="1" x14ac:dyDescent="0.2">
      <c r="A173" s="6"/>
      <c r="B173" s="6"/>
      <c r="G173" s="20">
        <v>45369</v>
      </c>
      <c r="H173" s="22">
        <v>0.16666666666666666</v>
      </c>
      <c r="I173" s="21">
        <v>65.77</v>
      </c>
      <c r="J173" s="21">
        <v>14.71</v>
      </c>
      <c r="K173" s="21">
        <v>481.54</v>
      </c>
    </row>
    <row r="174" spans="1:11" ht="15.75" customHeight="1" x14ac:dyDescent="0.2">
      <c r="A174" s="6"/>
      <c r="B174" s="6"/>
      <c r="G174" s="20">
        <v>45369</v>
      </c>
      <c r="H174" s="22">
        <v>0.20833333333333334</v>
      </c>
      <c r="I174" s="21">
        <v>65.989999999999995</v>
      </c>
      <c r="J174" s="21">
        <v>13.69</v>
      </c>
      <c r="K174" s="21">
        <v>486.51</v>
      </c>
    </row>
    <row r="175" spans="1:11" ht="15.75" customHeight="1" x14ac:dyDescent="0.2">
      <c r="A175" s="6"/>
      <c r="B175" s="6"/>
      <c r="G175" s="20">
        <v>45369</v>
      </c>
      <c r="H175" s="22">
        <v>0.25</v>
      </c>
      <c r="I175" s="21">
        <v>65.680000000000007</v>
      </c>
      <c r="J175" s="21">
        <v>14.96</v>
      </c>
      <c r="K175" s="21">
        <v>472.02</v>
      </c>
    </row>
    <row r="176" spans="1:11" ht="15.75" customHeight="1" x14ac:dyDescent="0.2">
      <c r="A176" s="6"/>
      <c r="B176" s="6"/>
      <c r="G176" s="20">
        <v>45369</v>
      </c>
      <c r="H176" s="22">
        <v>0.29166666666666669</v>
      </c>
      <c r="I176" s="21">
        <v>61.92</v>
      </c>
      <c r="J176" s="21">
        <v>21.89</v>
      </c>
      <c r="K176" s="21">
        <v>450.27</v>
      </c>
    </row>
    <row r="177" spans="1:11" ht="15.75" customHeight="1" x14ac:dyDescent="0.2">
      <c r="A177" s="6"/>
      <c r="B177" s="6"/>
      <c r="G177" s="20">
        <v>45369</v>
      </c>
      <c r="H177" s="22">
        <v>0.33333333333333331</v>
      </c>
      <c r="I177" s="21">
        <v>58.86</v>
      </c>
      <c r="J177" s="21">
        <v>24.82</v>
      </c>
      <c r="K177" s="21">
        <v>450.38</v>
      </c>
    </row>
    <row r="178" spans="1:11" ht="15.75" customHeight="1" x14ac:dyDescent="0.2">
      <c r="A178" s="6"/>
      <c r="B178" s="6"/>
      <c r="G178" s="20">
        <v>45369</v>
      </c>
      <c r="H178" s="22">
        <v>0.375</v>
      </c>
      <c r="I178" s="21">
        <v>57</v>
      </c>
      <c r="J178" s="21">
        <v>25.38</v>
      </c>
      <c r="K178" s="21">
        <v>435.33</v>
      </c>
    </row>
    <row r="179" spans="1:11" ht="15.75" customHeight="1" x14ac:dyDescent="0.2">
      <c r="A179" s="6"/>
      <c r="B179" s="6"/>
      <c r="G179" s="20">
        <v>45369</v>
      </c>
      <c r="H179" s="22">
        <v>0.41666666666666669</v>
      </c>
      <c r="I179" s="21">
        <v>53.95</v>
      </c>
      <c r="J179" s="21">
        <v>26.53</v>
      </c>
      <c r="K179" s="21">
        <v>426.75</v>
      </c>
    </row>
    <row r="180" spans="1:11" ht="15.75" customHeight="1" x14ac:dyDescent="0.2">
      <c r="A180" s="6"/>
      <c r="B180" s="6"/>
      <c r="G180" s="20">
        <v>45369</v>
      </c>
      <c r="H180" s="22">
        <v>0.45833333333333331</v>
      </c>
      <c r="I180" s="21">
        <v>53.18</v>
      </c>
      <c r="J180" s="21">
        <v>25.83</v>
      </c>
      <c r="K180" s="21">
        <v>419.37</v>
      </c>
    </row>
    <row r="181" spans="1:11" ht="15.75" customHeight="1" x14ac:dyDescent="0.2">
      <c r="A181" s="6"/>
      <c r="B181" s="6"/>
      <c r="G181" s="20">
        <v>45369</v>
      </c>
      <c r="H181" s="22">
        <v>0.5</v>
      </c>
      <c r="I181" s="21">
        <v>51.47</v>
      </c>
      <c r="J181" s="21">
        <v>24.29</v>
      </c>
      <c r="K181" s="21">
        <v>413.47</v>
      </c>
    </row>
    <row r="182" spans="1:11" ht="15.75" customHeight="1" x14ac:dyDescent="0.2">
      <c r="A182" s="6"/>
      <c r="B182" s="6"/>
      <c r="G182" s="20">
        <v>45369</v>
      </c>
      <c r="H182" s="22">
        <v>0.54166666666666663</v>
      </c>
      <c r="I182" s="21">
        <v>51.25</v>
      </c>
      <c r="J182" s="21">
        <v>24.52</v>
      </c>
      <c r="K182" s="21">
        <v>427.56</v>
      </c>
    </row>
    <row r="183" spans="1:11" ht="15.75" customHeight="1" x14ac:dyDescent="0.2">
      <c r="A183" s="6"/>
      <c r="B183" s="6"/>
      <c r="G183" s="20">
        <v>45369</v>
      </c>
      <c r="H183" s="22">
        <v>0.58333333333333337</v>
      </c>
      <c r="I183" s="21">
        <v>51.87</v>
      </c>
      <c r="J183" s="21">
        <v>18.96</v>
      </c>
      <c r="K183" s="21">
        <v>427.5</v>
      </c>
    </row>
    <row r="184" spans="1:11" ht="15.75" customHeight="1" x14ac:dyDescent="0.2">
      <c r="A184" s="6"/>
      <c r="B184" s="6"/>
      <c r="G184" s="20">
        <v>45369</v>
      </c>
      <c r="H184" s="22">
        <v>0.625</v>
      </c>
      <c r="I184" s="21">
        <v>53.18</v>
      </c>
      <c r="J184" s="21">
        <v>22.91</v>
      </c>
      <c r="K184" s="21">
        <v>430.3</v>
      </c>
    </row>
    <row r="185" spans="1:11" ht="15.75" customHeight="1" x14ac:dyDescent="0.2">
      <c r="A185" s="6"/>
      <c r="B185" s="6"/>
      <c r="G185" s="20">
        <v>45369</v>
      </c>
      <c r="H185" s="22">
        <v>0.66666666666666663</v>
      </c>
      <c r="I185" s="21">
        <v>54.59</v>
      </c>
      <c r="J185" s="21">
        <v>19.93</v>
      </c>
      <c r="K185" s="21">
        <v>448.95</v>
      </c>
    </row>
    <row r="186" spans="1:11" ht="15.75" customHeight="1" x14ac:dyDescent="0.2">
      <c r="A186" s="6"/>
      <c r="B186" s="6"/>
      <c r="G186" s="20">
        <v>45369</v>
      </c>
      <c r="H186" s="22">
        <v>0.70833333333333337</v>
      </c>
      <c r="I186" s="21">
        <v>57.39</v>
      </c>
      <c r="J186" s="21">
        <v>17.07</v>
      </c>
      <c r="K186" s="21">
        <v>453.8</v>
      </c>
    </row>
    <row r="187" spans="1:11" ht="15.75" customHeight="1" x14ac:dyDescent="0.2">
      <c r="A187" s="6"/>
      <c r="B187" s="6"/>
      <c r="G187" s="20">
        <v>45369</v>
      </c>
      <c r="H187" s="22">
        <v>0.75</v>
      </c>
      <c r="I187" s="21">
        <v>58.67</v>
      </c>
      <c r="J187" s="21">
        <v>16.09</v>
      </c>
      <c r="K187" s="21">
        <v>458.8</v>
      </c>
    </row>
    <row r="188" spans="1:11" ht="15.75" customHeight="1" x14ac:dyDescent="0.2">
      <c r="A188" s="6"/>
      <c r="B188" s="6"/>
      <c r="G188" s="20">
        <v>45369</v>
      </c>
      <c r="H188" s="22">
        <v>0.79166666666666663</v>
      </c>
      <c r="I188" s="21">
        <v>60.13</v>
      </c>
      <c r="J188" s="21">
        <v>15.02</v>
      </c>
      <c r="K188" s="21">
        <v>465.45</v>
      </c>
    </row>
    <row r="189" spans="1:11" ht="15.75" customHeight="1" x14ac:dyDescent="0.2">
      <c r="A189" s="6"/>
      <c r="B189" s="6"/>
      <c r="G189" s="20">
        <v>45369</v>
      </c>
      <c r="H189" s="22">
        <v>0.83333333333333337</v>
      </c>
      <c r="I189" s="21">
        <v>61.26</v>
      </c>
      <c r="J189" s="21">
        <v>14.54</v>
      </c>
      <c r="K189" s="21">
        <v>469.43</v>
      </c>
    </row>
    <row r="190" spans="1:11" ht="15.75" customHeight="1" x14ac:dyDescent="0.2">
      <c r="A190" s="6"/>
      <c r="B190" s="6"/>
      <c r="G190" s="20">
        <v>45369</v>
      </c>
      <c r="H190" s="22">
        <v>0.875</v>
      </c>
      <c r="I190" s="21">
        <v>61.88</v>
      </c>
      <c r="J190" s="21">
        <v>13.97</v>
      </c>
      <c r="K190" s="21">
        <v>479.8</v>
      </c>
    </row>
    <row r="191" spans="1:11" ht="15.75" customHeight="1" x14ac:dyDescent="0.2">
      <c r="A191" s="6"/>
      <c r="B191" s="6"/>
      <c r="G191" s="20">
        <v>45369</v>
      </c>
      <c r="H191" s="22">
        <v>0.91666666666666663</v>
      </c>
      <c r="I191" s="21">
        <v>62.81</v>
      </c>
      <c r="J191" s="21">
        <v>13.61</v>
      </c>
      <c r="K191" s="21">
        <v>509.6</v>
      </c>
    </row>
    <row r="192" spans="1:11" ht="15.75" customHeight="1" x14ac:dyDescent="0.2">
      <c r="A192" s="6"/>
      <c r="B192" s="6"/>
      <c r="G192" s="20">
        <v>45370</v>
      </c>
      <c r="H192" s="22">
        <v>0.95833333333333337</v>
      </c>
      <c r="I192" s="21">
        <v>63.1</v>
      </c>
      <c r="J192" s="21">
        <v>13.49</v>
      </c>
      <c r="K192" s="21">
        <v>508.15</v>
      </c>
    </row>
    <row r="193" spans="1:11" ht="15.75" customHeight="1" x14ac:dyDescent="0.2">
      <c r="A193" s="6"/>
      <c r="B193" s="6"/>
      <c r="G193" s="20">
        <v>45370</v>
      </c>
      <c r="H193" s="22">
        <v>0</v>
      </c>
      <c r="I193" s="21">
        <v>63.93</v>
      </c>
      <c r="J193" s="21">
        <v>13.34</v>
      </c>
      <c r="K193" s="21">
        <v>493.91</v>
      </c>
    </row>
    <row r="194" spans="1:11" ht="15.75" customHeight="1" x14ac:dyDescent="0.2">
      <c r="A194" s="6"/>
      <c r="B194" s="6"/>
      <c r="G194" s="20">
        <v>45370</v>
      </c>
      <c r="H194" s="22">
        <v>4.1666666666666664E-2</v>
      </c>
      <c r="I194" s="21">
        <v>64.28</v>
      </c>
      <c r="J194" s="21">
        <v>13.43</v>
      </c>
      <c r="K194" s="21">
        <v>484.92</v>
      </c>
    </row>
    <row r="195" spans="1:11" ht="15.75" customHeight="1" x14ac:dyDescent="0.2">
      <c r="A195" s="6"/>
      <c r="B195" s="6"/>
      <c r="G195" s="20">
        <v>45370</v>
      </c>
      <c r="H195" s="22">
        <v>8.3333333333333329E-2</v>
      </c>
      <c r="I195" s="21">
        <v>64.92</v>
      </c>
      <c r="J195" s="21">
        <v>13.16</v>
      </c>
      <c r="K195" s="21">
        <v>483.15</v>
      </c>
    </row>
    <row r="196" spans="1:11" ht="15.75" customHeight="1" x14ac:dyDescent="0.2">
      <c r="A196" s="6"/>
      <c r="B196" s="6"/>
      <c r="G196" s="20">
        <v>45370</v>
      </c>
      <c r="H196" s="22">
        <v>0.125</v>
      </c>
      <c r="I196" s="21">
        <v>65.38</v>
      </c>
      <c r="J196" s="21">
        <v>13.15</v>
      </c>
      <c r="K196" s="21">
        <v>481.37</v>
      </c>
    </row>
    <row r="197" spans="1:11" ht="15.75" customHeight="1" x14ac:dyDescent="0.2">
      <c r="A197" s="6"/>
      <c r="B197" s="6"/>
      <c r="G197" s="20">
        <v>45370</v>
      </c>
      <c r="H197" s="22">
        <v>0.16666666666666666</v>
      </c>
      <c r="I197" s="21">
        <v>65.61</v>
      </c>
      <c r="J197" s="21">
        <v>13.03</v>
      </c>
      <c r="K197" s="21">
        <v>480.46</v>
      </c>
    </row>
    <row r="198" spans="1:11" ht="15.75" customHeight="1" x14ac:dyDescent="0.2">
      <c r="A198" s="6"/>
      <c r="B198" s="6"/>
      <c r="G198" s="20">
        <v>45370</v>
      </c>
      <c r="H198" s="22">
        <v>0.20833333333333334</v>
      </c>
      <c r="I198" s="21">
        <v>66.13</v>
      </c>
      <c r="J198" s="21">
        <v>12.59</v>
      </c>
      <c r="K198" s="21">
        <v>481.22</v>
      </c>
    </row>
    <row r="199" spans="1:11" ht="15.75" customHeight="1" x14ac:dyDescent="0.2">
      <c r="A199" s="6"/>
      <c r="B199" s="6"/>
      <c r="G199" s="20">
        <v>45370</v>
      </c>
      <c r="H199" s="22">
        <v>0.25</v>
      </c>
      <c r="I199" s="21">
        <v>65.239999999999995</v>
      </c>
      <c r="J199" s="21">
        <v>14.23</v>
      </c>
      <c r="K199" s="21">
        <v>462.28</v>
      </c>
    </row>
    <row r="200" spans="1:11" ht="15.75" customHeight="1" x14ac:dyDescent="0.2">
      <c r="A200" s="6"/>
      <c r="B200" s="6"/>
      <c r="G200" s="20">
        <v>45370</v>
      </c>
      <c r="H200" s="22">
        <v>0.29166666666666669</v>
      </c>
      <c r="I200" s="21">
        <v>61.18</v>
      </c>
      <c r="J200" s="21">
        <v>21.72</v>
      </c>
      <c r="K200" s="21">
        <v>449.4</v>
      </c>
    </row>
    <row r="201" spans="1:11" ht="15.75" customHeight="1" x14ac:dyDescent="0.2">
      <c r="A201" s="6"/>
      <c r="B201" s="6"/>
      <c r="G201" s="20">
        <v>45370</v>
      </c>
      <c r="H201" s="22">
        <v>0.33333333333333331</v>
      </c>
      <c r="I201" s="21">
        <v>58.96</v>
      </c>
      <c r="J201" s="21">
        <v>23.92</v>
      </c>
      <c r="K201" s="21">
        <v>448.6</v>
      </c>
    </row>
    <row r="202" spans="1:11" ht="15.75" customHeight="1" x14ac:dyDescent="0.2">
      <c r="A202" s="6"/>
      <c r="B202" s="6"/>
      <c r="G202" s="20">
        <v>45370</v>
      </c>
      <c r="H202" s="22">
        <v>0.375</v>
      </c>
      <c r="I202" s="21">
        <v>57.22</v>
      </c>
      <c r="J202" s="21">
        <v>28.13</v>
      </c>
      <c r="K202" s="21">
        <v>443.07</v>
      </c>
    </row>
    <row r="203" spans="1:11" ht="15.75" customHeight="1" x14ac:dyDescent="0.2">
      <c r="A203" s="6"/>
      <c r="B203" s="6"/>
      <c r="G203" s="20">
        <v>45370</v>
      </c>
      <c r="H203" s="22">
        <v>0.41666666666666669</v>
      </c>
      <c r="I203" s="21">
        <v>54.42</v>
      </c>
      <c r="J203" s="21">
        <v>26.66</v>
      </c>
      <c r="K203" s="21">
        <v>437.08</v>
      </c>
    </row>
    <row r="204" spans="1:11" ht="15.75" customHeight="1" x14ac:dyDescent="0.2">
      <c r="A204" s="6"/>
      <c r="B204" s="6"/>
      <c r="G204" s="20">
        <v>45370</v>
      </c>
      <c r="H204" s="22">
        <v>0.45833333333333331</v>
      </c>
      <c r="I204" s="21">
        <v>55.2</v>
      </c>
      <c r="J204" s="21">
        <v>24.53</v>
      </c>
      <c r="K204" s="21">
        <v>428.44</v>
      </c>
    </row>
    <row r="205" spans="1:11" ht="15.75" customHeight="1" x14ac:dyDescent="0.2">
      <c r="A205" s="6"/>
      <c r="B205" s="6"/>
      <c r="G205" s="20">
        <v>45370</v>
      </c>
      <c r="H205" s="22">
        <v>0.5</v>
      </c>
      <c r="I205" s="21">
        <v>52.83</v>
      </c>
      <c r="J205" s="21">
        <v>23.86</v>
      </c>
      <c r="K205" s="21">
        <v>423.36</v>
      </c>
    </row>
    <row r="206" spans="1:11" ht="15.75" customHeight="1" x14ac:dyDescent="0.2">
      <c r="A206" s="6"/>
      <c r="B206" s="6"/>
      <c r="G206" s="20">
        <v>45370</v>
      </c>
      <c r="H206" s="22">
        <v>0.54166666666666663</v>
      </c>
      <c r="I206" s="21">
        <v>52.89</v>
      </c>
      <c r="J206" s="21">
        <v>24.5</v>
      </c>
      <c r="K206" s="21">
        <v>420.02</v>
      </c>
    </row>
    <row r="207" spans="1:11" ht="15.75" customHeight="1" x14ac:dyDescent="0.2">
      <c r="A207" s="6"/>
      <c r="B207" s="6"/>
      <c r="G207" s="20">
        <v>45370</v>
      </c>
      <c r="H207" s="22">
        <v>0.58333333333333337</v>
      </c>
      <c r="I207" s="21">
        <v>51.95</v>
      </c>
      <c r="J207" s="21">
        <v>24.29</v>
      </c>
      <c r="K207" s="21">
        <v>419.32</v>
      </c>
    </row>
    <row r="208" spans="1:11" ht="15.75" customHeight="1" x14ac:dyDescent="0.2">
      <c r="A208" s="6"/>
      <c r="B208" s="6"/>
      <c r="G208" s="20">
        <v>45370</v>
      </c>
      <c r="H208" s="22">
        <v>0.625</v>
      </c>
      <c r="I208" s="21">
        <v>52.79</v>
      </c>
      <c r="J208" s="21">
        <v>24.02</v>
      </c>
      <c r="K208" s="21">
        <v>420.11</v>
      </c>
    </row>
    <row r="209" spans="1:11" ht="15.75" customHeight="1" x14ac:dyDescent="0.2">
      <c r="A209" s="6"/>
      <c r="B209" s="6"/>
      <c r="G209" s="20">
        <v>45370</v>
      </c>
      <c r="H209" s="22">
        <v>0.66666666666666663</v>
      </c>
      <c r="I209" s="21">
        <v>53.69</v>
      </c>
      <c r="J209" s="21">
        <v>24.97</v>
      </c>
      <c r="K209" s="21">
        <v>426.35</v>
      </c>
    </row>
    <row r="210" spans="1:11" ht="15.75" customHeight="1" x14ac:dyDescent="0.2">
      <c r="A210" s="6"/>
      <c r="B210" s="6"/>
      <c r="G210" s="20">
        <v>45370</v>
      </c>
      <c r="H210" s="22">
        <v>0.70833333333333337</v>
      </c>
      <c r="I210" s="21">
        <v>54.66</v>
      </c>
      <c r="J210" s="21">
        <v>21.88</v>
      </c>
      <c r="K210" s="21">
        <v>447.91</v>
      </c>
    </row>
    <row r="211" spans="1:11" ht="15.75" customHeight="1" x14ac:dyDescent="0.2">
      <c r="A211" s="6"/>
      <c r="B211" s="6"/>
      <c r="G211" s="20">
        <v>45370</v>
      </c>
      <c r="H211" s="22">
        <v>0.75</v>
      </c>
      <c r="I211" s="21">
        <v>57.12</v>
      </c>
      <c r="J211" s="21">
        <v>18</v>
      </c>
      <c r="K211" s="21">
        <v>459.47</v>
      </c>
    </row>
    <row r="212" spans="1:11" ht="15.75" customHeight="1" x14ac:dyDescent="0.2">
      <c r="A212" s="6"/>
      <c r="B212" s="6"/>
      <c r="G212" s="20">
        <v>45370</v>
      </c>
      <c r="H212" s="22">
        <v>0.79166666666666663</v>
      </c>
      <c r="I212" s="21">
        <v>59.5</v>
      </c>
      <c r="J212" s="21">
        <v>16.329999999999998</v>
      </c>
      <c r="K212" s="21">
        <v>467.11</v>
      </c>
    </row>
    <row r="213" spans="1:11" ht="15.75" customHeight="1" x14ac:dyDescent="0.2">
      <c r="A213" s="6"/>
      <c r="B213" s="6"/>
      <c r="G213" s="20">
        <v>45370</v>
      </c>
      <c r="H213" s="22">
        <v>0.83333333333333337</v>
      </c>
      <c r="I213" s="21">
        <v>61.09</v>
      </c>
      <c r="J213" s="21">
        <v>15.27</v>
      </c>
      <c r="K213" s="21">
        <v>476.38</v>
      </c>
    </row>
    <row r="214" spans="1:11" ht="15.75" customHeight="1" x14ac:dyDescent="0.2">
      <c r="A214" s="6"/>
      <c r="B214" s="6"/>
      <c r="G214" s="20">
        <v>45370</v>
      </c>
      <c r="H214" s="22">
        <v>0.875</v>
      </c>
      <c r="I214" s="21">
        <v>62.1</v>
      </c>
      <c r="J214" s="21">
        <v>14.4</v>
      </c>
      <c r="K214" s="21">
        <v>483.79</v>
      </c>
    </row>
    <row r="215" spans="1:11" ht="15.75" customHeight="1" x14ac:dyDescent="0.2">
      <c r="A215" s="6"/>
      <c r="B215" s="6"/>
      <c r="G215" s="20">
        <v>45370</v>
      </c>
      <c r="H215" s="22">
        <v>0.91666666666666663</v>
      </c>
      <c r="I215" s="21">
        <v>62.74</v>
      </c>
      <c r="J215" s="21">
        <v>13.51</v>
      </c>
      <c r="K215" s="21">
        <v>495</v>
      </c>
    </row>
    <row r="216" spans="1:11" ht="15.75" customHeight="1" x14ac:dyDescent="0.2">
      <c r="A216" s="6"/>
      <c r="B216" s="6"/>
      <c r="G216" s="20">
        <v>45371</v>
      </c>
      <c r="H216" s="22">
        <v>0.95833333333333337</v>
      </c>
      <c r="I216" s="21">
        <v>63.54</v>
      </c>
      <c r="J216" s="21">
        <v>12.73</v>
      </c>
      <c r="K216" s="21">
        <v>504.39</v>
      </c>
    </row>
    <row r="217" spans="1:11" ht="15.75" customHeight="1" x14ac:dyDescent="0.2">
      <c r="A217" s="6"/>
      <c r="B217" s="6"/>
      <c r="G217" s="20">
        <v>45371</v>
      </c>
      <c r="H217" s="22">
        <v>0</v>
      </c>
      <c r="I217" s="21">
        <v>64</v>
      </c>
      <c r="J217" s="21">
        <v>12.28</v>
      </c>
      <c r="K217" s="21">
        <v>510.79</v>
      </c>
    </row>
    <row r="218" spans="1:11" ht="15.75" customHeight="1" x14ac:dyDescent="0.2">
      <c r="A218" s="6"/>
      <c r="B218" s="6"/>
      <c r="G218" s="20">
        <v>45371</v>
      </c>
      <c r="H218" s="22">
        <v>4.1666666666666664E-2</v>
      </c>
      <c r="I218" s="21">
        <v>64.239999999999995</v>
      </c>
      <c r="J218" s="21">
        <v>11.82</v>
      </c>
      <c r="K218" s="21">
        <v>515.04999999999995</v>
      </c>
    </row>
    <row r="219" spans="1:11" ht="15.75" customHeight="1" x14ac:dyDescent="0.2">
      <c r="A219" s="6"/>
      <c r="B219" s="6"/>
      <c r="G219" s="20">
        <v>45371</v>
      </c>
      <c r="H219" s="22">
        <v>8.3333333333333329E-2</v>
      </c>
      <c r="I219" s="21">
        <v>64.41</v>
      </c>
      <c r="J219" s="21">
        <v>11.49</v>
      </c>
      <c r="K219" s="21">
        <v>518.79</v>
      </c>
    </row>
    <row r="220" spans="1:11" ht="15.75" customHeight="1" x14ac:dyDescent="0.2">
      <c r="A220" s="6"/>
      <c r="B220" s="6"/>
      <c r="G220" s="20">
        <v>45371</v>
      </c>
      <c r="H220" s="22">
        <v>0.125</v>
      </c>
      <c r="I220" s="21">
        <v>64.72</v>
      </c>
      <c r="J220" s="21">
        <v>11.18</v>
      </c>
      <c r="K220" s="21">
        <v>520.62</v>
      </c>
    </row>
    <row r="221" spans="1:11" ht="15.75" customHeight="1" x14ac:dyDescent="0.2">
      <c r="A221" s="6"/>
      <c r="B221" s="6"/>
      <c r="G221" s="20">
        <v>45371</v>
      </c>
      <c r="H221" s="22">
        <v>0.16666666666666666</v>
      </c>
      <c r="I221" s="21">
        <v>65.17</v>
      </c>
      <c r="J221" s="21">
        <v>10.87</v>
      </c>
      <c r="K221" s="21">
        <v>527.25</v>
      </c>
    </row>
    <row r="222" spans="1:11" ht="15.75" customHeight="1" x14ac:dyDescent="0.2">
      <c r="A222" s="6"/>
      <c r="B222" s="6"/>
      <c r="G222" s="20">
        <v>45371</v>
      </c>
      <c r="H222" s="22">
        <v>0.20833333333333334</v>
      </c>
      <c r="I222" s="21">
        <v>65.739999999999995</v>
      </c>
      <c r="J222" s="21">
        <v>10.63</v>
      </c>
      <c r="K222" s="21">
        <v>531.63</v>
      </c>
    </row>
    <row r="223" spans="1:11" ht="15.75" customHeight="1" x14ac:dyDescent="0.2">
      <c r="A223" s="6"/>
      <c r="B223" s="6"/>
      <c r="G223" s="20">
        <v>45371</v>
      </c>
      <c r="H223" s="22">
        <v>0.25</v>
      </c>
      <c r="I223" s="21">
        <v>65.08</v>
      </c>
      <c r="J223" s="21">
        <v>13.27</v>
      </c>
      <c r="K223" s="21">
        <v>506.47</v>
      </c>
    </row>
    <row r="224" spans="1:11" ht="15.75" customHeight="1" x14ac:dyDescent="0.2">
      <c r="A224" s="6"/>
      <c r="B224" s="6"/>
      <c r="G224" s="20">
        <v>45371</v>
      </c>
      <c r="H224" s="22">
        <v>0.29166666666666669</v>
      </c>
      <c r="I224" s="21">
        <v>60.05</v>
      </c>
      <c r="J224" s="21">
        <v>23.01</v>
      </c>
      <c r="K224" s="21">
        <v>471.15</v>
      </c>
    </row>
    <row r="225" spans="1:11" ht="15.75" customHeight="1" x14ac:dyDescent="0.2">
      <c r="A225" s="6"/>
      <c r="B225" s="6"/>
      <c r="G225" s="20">
        <v>45371</v>
      </c>
      <c r="H225" s="22">
        <v>0.33333333333333331</v>
      </c>
      <c r="I225" s="21">
        <v>56.34</v>
      </c>
      <c r="J225" s="21">
        <v>24.97</v>
      </c>
      <c r="K225" s="21">
        <v>453.3</v>
      </c>
    </row>
    <row r="226" spans="1:11" ht="15.75" customHeight="1" x14ac:dyDescent="0.2">
      <c r="A226" s="6"/>
      <c r="B226" s="6"/>
      <c r="G226" s="20">
        <v>45371</v>
      </c>
      <c r="H226" s="22">
        <v>0.375</v>
      </c>
      <c r="I226" s="21">
        <v>53.49</v>
      </c>
      <c r="J226" s="21">
        <v>24.04</v>
      </c>
      <c r="K226" s="21">
        <v>442.99</v>
      </c>
    </row>
    <row r="227" spans="1:11" ht="15.75" customHeight="1" x14ac:dyDescent="0.2">
      <c r="A227" s="6"/>
      <c r="B227" s="6"/>
      <c r="G227" s="20">
        <v>45371</v>
      </c>
      <c r="H227" s="22">
        <v>0.41666666666666669</v>
      </c>
      <c r="I227" s="21">
        <v>51.46</v>
      </c>
      <c r="J227" s="21">
        <v>22.97</v>
      </c>
      <c r="K227" s="21">
        <v>436.88</v>
      </c>
    </row>
    <row r="228" spans="1:11" ht="15.75" customHeight="1" x14ac:dyDescent="0.2">
      <c r="A228" s="6"/>
      <c r="B228" s="6"/>
      <c r="G228" s="20">
        <v>45371</v>
      </c>
      <c r="H228" s="22">
        <v>0.45833333333333331</v>
      </c>
      <c r="I228" s="21">
        <v>50.32</v>
      </c>
      <c r="J228" s="21">
        <v>23.18</v>
      </c>
      <c r="K228" s="21">
        <v>432.77</v>
      </c>
    </row>
    <row r="229" spans="1:11" ht="15.75" customHeight="1" x14ac:dyDescent="0.2">
      <c r="A229" s="6"/>
      <c r="B229" s="6"/>
      <c r="G229" s="20">
        <v>45371</v>
      </c>
      <c r="H229" s="22">
        <v>0.5</v>
      </c>
      <c r="I229" s="21">
        <v>49.76</v>
      </c>
      <c r="J229" s="21">
        <v>23.76</v>
      </c>
      <c r="K229" s="21">
        <v>427.34</v>
      </c>
    </row>
    <row r="230" spans="1:11" ht="15.75" customHeight="1" x14ac:dyDescent="0.2">
      <c r="A230" s="6"/>
      <c r="B230" s="6"/>
      <c r="G230" s="20">
        <v>45371</v>
      </c>
      <c r="H230" s="22">
        <v>0.54166666666666663</v>
      </c>
      <c r="I230" s="21">
        <v>49.98</v>
      </c>
      <c r="J230" s="21">
        <v>23.43</v>
      </c>
      <c r="K230" s="21">
        <v>424.89</v>
      </c>
    </row>
    <row r="231" spans="1:11" ht="15.75" customHeight="1" x14ac:dyDescent="0.2">
      <c r="A231" s="6"/>
      <c r="B231" s="6"/>
      <c r="G231" s="20">
        <v>45371</v>
      </c>
      <c r="H231" s="22">
        <v>0.58333333333333337</v>
      </c>
      <c r="I231" s="21">
        <v>51.07</v>
      </c>
      <c r="J231" s="21">
        <v>22.97</v>
      </c>
      <c r="K231" s="21">
        <v>424.04</v>
      </c>
    </row>
    <row r="232" spans="1:11" ht="15.75" customHeight="1" x14ac:dyDescent="0.2">
      <c r="A232" s="6"/>
      <c r="B232" s="6"/>
      <c r="G232" s="20">
        <v>45371</v>
      </c>
      <c r="H232" s="22">
        <v>0.625</v>
      </c>
      <c r="I232" s="21">
        <v>51.68</v>
      </c>
      <c r="J232" s="21">
        <v>24.34</v>
      </c>
      <c r="K232" s="21">
        <v>420.35</v>
      </c>
    </row>
    <row r="233" spans="1:11" ht="15.75" customHeight="1" x14ac:dyDescent="0.2">
      <c r="A233" s="6"/>
      <c r="B233" s="6"/>
      <c r="G233" s="20">
        <v>45371</v>
      </c>
      <c r="H233" s="22">
        <v>0.66666666666666663</v>
      </c>
      <c r="I233" s="21">
        <v>52.39</v>
      </c>
      <c r="J233" s="21">
        <v>26.32</v>
      </c>
      <c r="K233" s="21">
        <v>419.96</v>
      </c>
    </row>
    <row r="234" spans="1:11" ht="15.75" customHeight="1" x14ac:dyDescent="0.2">
      <c r="A234" s="6"/>
      <c r="B234" s="6"/>
      <c r="G234" s="20">
        <v>45371</v>
      </c>
      <c r="H234" s="22">
        <v>0.70833333333333337</v>
      </c>
      <c r="I234" s="21">
        <v>53.49</v>
      </c>
      <c r="J234" s="21">
        <v>24.72</v>
      </c>
      <c r="K234" s="21">
        <v>441.49</v>
      </c>
    </row>
    <row r="235" spans="1:11" ht="15.75" customHeight="1" x14ac:dyDescent="0.2">
      <c r="A235" s="6"/>
      <c r="B235" s="6"/>
      <c r="G235" s="20">
        <v>45371</v>
      </c>
      <c r="H235" s="22">
        <v>0.75</v>
      </c>
      <c r="I235" s="21">
        <v>55.39</v>
      </c>
      <c r="J235" s="21">
        <v>19.88</v>
      </c>
      <c r="K235" s="21">
        <v>456.52</v>
      </c>
    </row>
    <row r="236" spans="1:11" ht="15.75" customHeight="1" x14ac:dyDescent="0.2">
      <c r="A236" s="6"/>
      <c r="B236" s="6"/>
      <c r="G236" s="20">
        <v>45371</v>
      </c>
      <c r="H236" s="22">
        <v>0.79166666666666663</v>
      </c>
      <c r="I236" s="21">
        <v>57.82</v>
      </c>
      <c r="J236" s="21">
        <v>17.61</v>
      </c>
      <c r="K236" s="21">
        <v>469.13</v>
      </c>
    </row>
    <row r="237" spans="1:11" ht="15.75" customHeight="1" x14ac:dyDescent="0.2">
      <c r="A237" s="6"/>
      <c r="B237" s="6"/>
      <c r="G237" s="20">
        <v>45371</v>
      </c>
      <c r="H237" s="22">
        <v>0.83333333333333337</v>
      </c>
      <c r="I237" s="21">
        <v>59.47</v>
      </c>
      <c r="J237" s="21">
        <v>16.559999999999999</v>
      </c>
      <c r="K237" s="21">
        <v>482.35</v>
      </c>
    </row>
    <row r="238" spans="1:11" ht="15.75" customHeight="1" x14ac:dyDescent="0.2">
      <c r="A238" s="6"/>
      <c r="B238" s="6"/>
      <c r="G238" s="20">
        <v>45371</v>
      </c>
      <c r="H238" s="22">
        <v>0.875</v>
      </c>
      <c r="I238" s="21">
        <v>60.69</v>
      </c>
      <c r="J238" s="21">
        <v>15.77</v>
      </c>
      <c r="K238" s="21">
        <v>492.95</v>
      </c>
    </row>
    <row r="239" spans="1:11" ht="15.75" customHeight="1" x14ac:dyDescent="0.2">
      <c r="A239" s="6"/>
      <c r="B239" s="6"/>
      <c r="G239" s="20">
        <v>45371</v>
      </c>
      <c r="H239" s="22">
        <v>0.91666666666666663</v>
      </c>
      <c r="I239" s="21">
        <v>61.44</v>
      </c>
      <c r="J239" s="21">
        <v>15.38</v>
      </c>
      <c r="K239" s="21">
        <v>492.11</v>
      </c>
    </row>
    <row r="240" spans="1:11" ht="15.75" customHeight="1" x14ac:dyDescent="0.2">
      <c r="A240" s="6"/>
      <c r="B240" s="6"/>
      <c r="G240" s="20">
        <v>45372</v>
      </c>
      <c r="H240" s="22">
        <v>0.95833333333333337</v>
      </c>
      <c r="I240" s="21">
        <v>61.96</v>
      </c>
      <c r="J240" s="21">
        <v>15.66</v>
      </c>
      <c r="K240" s="21">
        <v>487.74</v>
      </c>
    </row>
    <row r="241" spans="1:11" ht="15.75" customHeight="1" x14ac:dyDescent="0.2">
      <c r="A241" s="6"/>
      <c r="B241" s="6"/>
      <c r="G241" s="20">
        <v>45372</v>
      </c>
      <c r="H241" s="22">
        <v>0</v>
      </c>
      <c r="I241" s="21">
        <v>62.63</v>
      </c>
      <c r="J241" s="21">
        <v>15.11</v>
      </c>
      <c r="K241" s="21">
        <v>484.56</v>
      </c>
    </row>
    <row r="242" spans="1:11" ht="15.75" customHeight="1" x14ac:dyDescent="0.2">
      <c r="A242" s="6"/>
      <c r="B242" s="6"/>
      <c r="G242" s="20">
        <v>45372</v>
      </c>
      <c r="H242" s="22">
        <v>4.1666666666666664E-2</v>
      </c>
      <c r="I242" s="21">
        <v>63.4</v>
      </c>
      <c r="J242" s="21">
        <v>14.26</v>
      </c>
      <c r="K242" s="21">
        <v>490.1</v>
      </c>
    </row>
    <row r="243" spans="1:11" ht="15.75" customHeight="1" x14ac:dyDescent="0.2">
      <c r="A243" s="6"/>
      <c r="B243" s="6"/>
      <c r="G243" s="20">
        <v>45372</v>
      </c>
      <c r="H243" s="22">
        <v>8.3333333333333329E-2</v>
      </c>
      <c r="I243" s="21">
        <v>64.48</v>
      </c>
      <c r="J243" s="21">
        <v>13.53</v>
      </c>
      <c r="K243" s="21">
        <v>491.41</v>
      </c>
    </row>
    <row r="244" spans="1:11" ht="15.75" customHeight="1" x14ac:dyDescent="0.2">
      <c r="A244" s="6"/>
      <c r="B244" s="6"/>
      <c r="G244" s="20">
        <v>45372</v>
      </c>
      <c r="H244" s="22">
        <v>0.125</v>
      </c>
      <c r="I244" s="21">
        <v>65.040000000000006</v>
      </c>
      <c r="J244" s="21">
        <v>13.12</v>
      </c>
      <c r="K244" s="21">
        <v>494.37</v>
      </c>
    </row>
    <row r="245" spans="1:11" ht="15.75" customHeight="1" x14ac:dyDescent="0.2">
      <c r="A245" s="6"/>
      <c r="B245" s="6"/>
      <c r="G245" s="20">
        <v>45372</v>
      </c>
      <c r="H245" s="22">
        <v>0.16666666666666666</v>
      </c>
      <c r="I245" s="21">
        <v>65.09</v>
      </c>
      <c r="J245" s="21">
        <v>12.7</v>
      </c>
      <c r="K245" s="21">
        <v>502.01</v>
      </c>
    </row>
    <row r="246" spans="1:11" ht="15.75" customHeight="1" x14ac:dyDescent="0.2">
      <c r="A246" s="6"/>
      <c r="B246" s="6"/>
      <c r="G246" s="20">
        <v>45372</v>
      </c>
      <c r="H246" s="22">
        <v>0.20833333333333334</v>
      </c>
      <c r="I246" s="21">
        <v>65.69</v>
      </c>
      <c r="J246" s="21">
        <v>12.33</v>
      </c>
      <c r="K246" s="21">
        <v>506.9</v>
      </c>
    </row>
    <row r="247" spans="1:11" ht="15.75" customHeight="1" x14ac:dyDescent="0.2">
      <c r="A247" s="6"/>
      <c r="B247" s="6"/>
      <c r="G247" s="20">
        <v>45372</v>
      </c>
      <c r="H247" s="22">
        <v>0.25</v>
      </c>
      <c r="I247" s="21">
        <v>64.95</v>
      </c>
      <c r="J247" s="21">
        <v>14.97</v>
      </c>
      <c r="K247" s="21">
        <v>479.42</v>
      </c>
    </row>
    <row r="248" spans="1:11" ht="15.75" customHeight="1" x14ac:dyDescent="0.2">
      <c r="A248" s="6"/>
      <c r="B248" s="6"/>
      <c r="G248" s="20">
        <v>45372</v>
      </c>
      <c r="H248" s="22">
        <v>0.29166666666666669</v>
      </c>
      <c r="I248" s="21">
        <v>60.19</v>
      </c>
      <c r="J248" s="21">
        <v>24.29</v>
      </c>
      <c r="K248" s="21">
        <v>452.29</v>
      </c>
    </row>
    <row r="249" spans="1:11" ht="15.75" customHeight="1" x14ac:dyDescent="0.2">
      <c r="A249" s="6"/>
      <c r="B249" s="6"/>
      <c r="G249" s="20">
        <v>45372</v>
      </c>
      <c r="H249" s="22">
        <v>0.33333333333333331</v>
      </c>
      <c r="I249" s="21">
        <v>56.38</v>
      </c>
      <c r="J249" s="21">
        <v>25.6</v>
      </c>
      <c r="K249" s="21">
        <v>440.13</v>
      </c>
    </row>
    <row r="250" spans="1:11" ht="15.75" customHeight="1" x14ac:dyDescent="0.2">
      <c r="A250" s="6"/>
      <c r="B250" s="6"/>
      <c r="G250" s="20">
        <v>45372</v>
      </c>
      <c r="H250" s="22">
        <v>0.375</v>
      </c>
      <c r="I250" s="21">
        <v>53</v>
      </c>
      <c r="J250" s="21">
        <v>24.11</v>
      </c>
      <c r="K250" s="21">
        <v>431.89</v>
      </c>
    </row>
    <row r="251" spans="1:11" ht="15.75" customHeight="1" x14ac:dyDescent="0.2">
      <c r="A251" s="6"/>
      <c r="B251" s="6"/>
      <c r="G251" s="20">
        <v>45372</v>
      </c>
      <c r="H251" s="22">
        <v>0.41666666666666669</v>
      </c>
      <c r="I251" s="21">
        <v>50.84</v>
      </c>
      <c r="J251" s="21">
        <v>23.69</v>
      </c>
      <c r="K251" s="21">
        <v>425.1</v>
      </c>
    </row>
    <row r="252" spans="1:11" ht="15.75" customHeight="1" x14ac:dyDescent="0.2">
      <c r="A252" s="6"/>
      <c r="B252" s="6"/>
      <c r="G252" s="20">
        <v>45372</v>
      </c>
      <c r="H252" s="22">
        <v>0.45833333333333331</v>
      </c>
      <c r="I252" s="21">
        <v>48.85</v>
      </c>
      <c r="J252" s="21">
        <v>24.84</v>
      </c>
      <c r="K252" s="21">
        <v>415.06</v>
      </c>
    </row>
    <row r="253" spans="1:11" ht="15.75" customHeight="1" x14ac:dyDescent="0.2">
      <c r="A253" s="6"/>
      <c r="B253" s="6"/>
      <c r="G253" s="20">
        <v>45372</v>
      </c>
      <c r="H253" s="22">
        <v>0.5</v>
      </c>
      <c r="I253" s="21">
        <v>46.97</v>
      </c>
      <c r="J253" s="21">
        <v>26.46</v>
      </c>
      <c r="K253" s="21">
        <v>408.44</v>
      </c>
    </row>
    <row r="254" spans="1:11" ht="15.75" customHeight="1" x14ac:dyDescent="0.2">
      <c r="A254" s="6"/>
      <c r="B254" s="6"/>
      <c r="G254" s="20">
        <v>45372</v>
      </c>
      <c r="H254" s="22">
        <v>0.54166666666666663</v>
      </c>
      <c r="I254" s="21">
        <v>47.14</v>
      </c>
      <c r="J254" s="21">
        <v>25.78</v>
      </c>
      <c r="K254" s="21">
        <v>410.82</v>
      </c>
    </row>
    <row r="255" spans="1:11" ht="15.75" customHeight="1" x14ac:dyDescent="0.2">
      <c r="A255" s="6"/>
      <c r="B255" s="6"/>
      <c r="G255" s="20">
        <v>45372</v>
      </c>
      <c r="H255" s="22">
        <v>0.58333333333333337</v>
      </c>
      <c r="I255" s="21">
        <v>49.96</v>
      </c>
      <c r="J255" s="21">
        <v>22.65</v>
      </c>
      <c r="K255" s="21">
        <v>412.08</v>
      </c>
    </row>
    <row r="256" spans="1:11" ht="15.75" customHeight="1" x14ac:dyDescent="0.2">
      <c r="A256" s="6"/>
      <c r="B256" s="6"/>
      <c r="G256" s="20">
        <v>45372</v>
      </c>
      <c r="H256" s="22">
        <v>0.625</v>
      </c>
      <c r="I256" s="21">
        <v>52.36</v>
      </c>
      <c r="J256" s="21">
        <v>22.99</v>
      </c>
      <c r="K256" s="21">
        <v>413.75</v>
      </c>
    </row>
    <row r="257" spans="1:11" ht="15.75" customHeight="1" x14ac:dyDescent="0.2">
      <c r="A257" s="6"/>
      <c r="B257" s="6"/>
      <c r="G257" s="20">
        <v>45372</v>
      </c>
      <c r="H257" s="22">
        <v>0.66666666666666663</v>
      </c>
      <c r="I257" s="21">
        <v>53.99</v>
      </c>
      <c r="J257" s="21">
        <v>24.66</v>
      </c>
      <c r="K257" s="21">
        <v>421.81</v>
      </c>
    </row>
    <row r="258" spans="1:11" ht="15.75" customHeight="1" x14ac:dyDescent="0.2">
      <c r="A258" s="6"/>
      <c r="B258" s="6"/>
      <c r="G258" s="20">
        <v>45372</v>
      </c>
      <c r="H258" s="22">
        <v>0.70833333333333337</v>
      </c>
      <c r="I258" s="21">
        <v>55.46</v>
      </c>
      <c r="J258" s="21">
        <v>22</v>
      </c>
      <c r="K258" s="21">
        <v>444.55</v>
      </c>
    </row>
    <row r="259" spans="1:11" ht="15.75" customHeight="1" x14ac:dyDescent="0.2">
      <c r="A259" s="6"/>
      <c r="B259" s="6"/>
      <c r="G259" s="20">
        <v>45372</v>
      </c>
      <c r="H259" s="22">
        <v>0.75</v>
      </c>
      <c r="I259" s="21">
        <v>57.29</v>
      </c>
      <c r="J259" s="21">
        <v>17.93</v>
      </c>
      <c r="K259" s="21">
        <v>453.77</v>
      </c>
    </row>
    <row r="260" spans="1:11" ht="15.75" customHeight="1" x14ac:dyDescent="0.2">
      <c r="A260" s="6"/>
      <c r="B260" s="6"/>
      <c r="G260" s="20">
        <v>45372</v>
      </c>
      <c r="H260" s="22">
        <v>0.79166666666666663</v>
      </c>
      <c r="I260" s="21">
        <v>59.17</v>
      </c>
      <c r="J260" s="21">
        <v>16.309999999999999</v>
      </c>
      <c r="K260" s="21">
        <v>459.13</v>
      </c>
    </row>
    <row r="261" spans="1:11" ht="15.75" customHeight="1" x14ac:dyDescent="0.2">
      <c r="A261" s="6"/>
      <c r="B261" s="6"/>
      <c r="G261" s="20">
        <v>45372</v>
      </c>
      <c r="H261" s="22">
        <v>0.83333333333333337</v>
      </c>
      <c r="I261" s="21">
        <v>60.24</v>
      </c>
      <c r="J261" s="21">
        <v>15.41</v>
      </c>
      <c r="K261" s="21">
        <v>464.95</v>
      </c>
    </row>
    <row r="262" spans="1:11" ht="15.75" customHeight="1" x14ac:dyDescent="0.2">
      <c r="A262" s="6"/>
      <c r="B262" s="6"/>
      <c r="G262" s="20">
        <v>45372</v>
      </c>
      <c r="H262" s="22">
        <v>0.875</v>
      </c>
      <c r="I262" s="21">
        <v>61.4</v>
      </c>
      <c r="J262" s="21">
        <v>14.28</v>
      </c>
      <c r="K262" s="21">
        <v>472.79</v>
      </c>
    </row>
    <row r="263" spans="1:11" ht="15.75" customHeight="1" x14ac:dyDescent="0.2">
      <c r="A263" s="6"/>
      <c r="B263" s="6"/>
      <c r="G263" s="20">
        <v>45372</v>
      </c>
      <c r="H263" s="22">
        <v>0.91666666666666663</v>
      </c>
      <c r="I263" s="21">
        <v>62.32</v>
      </c>
      <c r="J263" s="21">
        <v>13.79</v>
      </c>
      <c r="K263" s="21">
        <v>474.54</v>
      </c>
    </row>
    <row r="264" spans="1:11" ht="15.75" customHeight="1" x14ac:dyDescent="0.2">
      <c r="A264" s="6"/>
      <c r="B264" s="6"/>
      <c r="G264" s="20">
        <v>45373</v>
      </c>
      <c r="H264" s="22">
        <v>0.95833333333333337</v>
      </c>
      <c r="I264" s="21">
        <v>62.94</v>
      </c>
      <c r="J264" s="21">
        <v>13.46</v>
      </c>
      <c r="K264" s="21">
        <v>479.05</v>
      </c>
    </row>
    <row r="265" spans="1:11" ht="15.75" customHeight="1" x14ac:dyDescent="0.2">
      <c r="A265" s="6"/>
      <c r="B265" s="6"/>
      <c r="G265" s="20">
        <v>45373</v>
      </c>
      <c r="H265" s="22">
        <v>0</v>
      </c>
      <c r="I265" s="21">
        <v>63.55</v>
      </c>
      <c r="J265" s="21">
        <v>13.49</v>
      </c>
      <c r="K265" s="21">
        <v>479.15</v>
      </c>
    </row>
    <row r="266" spans="1:11" ht="15.75" customHeight="1" x14ac:dyDescent="0.2">
      <c r="A266" s="6"/>
      <c r="B266" s="6"/>
      <c r="G266" s="20">
        <v>45373</v>
      </c>
      <c r="H266" s="22">
        <v>4.1666666666666664E-2</v>
      </c>
      <c r="I266" s="21">
        <v>63.65</v>
      </c>
      <c r="J266" s="21">
        <v>13.06</v>
      </c>
      <c r="K266" s="21">
        <v>480.78</v>
      </c>
    </row>
    <row r="267" spans="1:11" ht="15.75" customHeight="1" x14ac:dyDescent="0.2">
      <c r="A267" s="6"/>
      <c r="B267" s="6"/>
      <c r="G267" s="20">
        <v>45373</v>
      </c>
      <c r="H267" s="22">
        <v>8.3333333333333329E-2</v>
      </c>
      <c r="I267" s="21">
        <v>64.17</v>
      </c>
      <c r="J267" s="21">
        <v>12.71</v>
      </c>
      <c r="K267" s="21">
        <v>483</v>
      </c>
    </row>
    <row r="268" spans="1:11" ht="15.75" customHeight="1" x14ac:dyDescent="0.2">
      <c r="A268" s="6"/>
      <c r="B268" s="6"/>
      <c r="G268" s="20">
        <v>45373</v>
      </c>
      <c r="H268" s="22">
        <v>0.125</v>
      </c>
      <c r="I268" s="21">
        <v>64.37</v>
      </c>
      <c r="J268" s="21">
        <v>12.29</v>
      </c>
      <c r="K268" s="21">
        <v>486.67</v>
      </c>
    </row>
    <row r="269" spans="1:11" ht="15.75" customHeight="1" x14ac:dyDescent="0.2">
      <c r="A269" s="6"/>
      <c r="B269" s="6"/>
      <c r="G269" s="20">
        <v>45373</v>
      </c>
      <c r="H269" s="22">
        <v>0.16666666666666666</v>
      </c>
      <c r="I269" s="21">
        <v>64.95</v>
      </c>
      <c r="J269" s="21">
        <v>11.37</v>
      </c>
      <c r="K269" s="21">
        <v>491.9</v>
      </c>
    </row>
    <row r="270" spans="1:11" ht="15.75" customHeight="1" x14ac:dyDescent="0.2">
      <c r="A270" s="6"/>
      <c r="B270" s="6"/>
      <c r="G270" s="20">
        <v>45373</v>
      </c>
      <c r="H270" s="22">
        <v>0.20833333333333334</v>
      </c>
      <c r="I270" s="21">
        <v>65.13</v>
      </c>
      <c r="J270" s="21">
        <v>10.66</v>
      </c>
      <c r="K270" s="21">
        <v>501.94</v>
      </c>
    </row>
    <row r="271" spans="1:11" ht="15.75" customHeight="1" x14ac:dyDescent="0.2">
      <c r="A271" s="6"/>
      <c r="B271" s="6"/>
      <c r="G271" s="20">
        <v>45373</v>
      </c>
      <c r="H271" s="22">
        <v>0.25</v>
      </c>
      <c r="I271" s="21">
        <v>64.34</v>
      </c>
      <c r="J271" s="21">
        <v>12.75</v>
      </c>
      <c r="K271" s="21">
        <v>486.45</v>
      </c>
    </row>
    <row r="272" spans="1:11" ht="15.75" customHeight="1" x14ac:dyDescent="0.2">
      <c r="A272" s="6"/>
      <c r="B272" s="6"/>
      <c r="G272" s="20">
        <v>45373</v>
      </c>
      <c r="H272" s="22">
        <v>0.29166666666666669</v>
      </c>
      <c r="I272" s="21">
        <v>59.74</v>
      </c>
      <c r="J272" s="21">
        <v>21.38</v>
      </c>
      <c r="K272" s="21">
        <v>459.52</v>
      </c>
    </row>
    <row r="273" spans="1:11" ht="15.75" customHeight="1" x14ac:dyDescent="0.2">
      <c r="A273" s="6"/>
      <c r="B273" s="6"/>
      <c r="G273" s="20">
        <v>45373</v>
      </c>
      <c r="H273" s="22">
        <v>0.33333333333333331</v>
      </c>
      <c r="I273" s="21">
        <v>56.69</v>
      </c>
      <c r="J273" s="21">
        <v>23.88</v>
      </c>
      <c r="K273" s="21">
        <v>448.48</v>
      </c>
    </row>
    <row r="274" spans="1:11" ht="15.75" customHeight="1" x14ac:dyDescent="0.2">
      <c r="A274" s="6"/>
      <c r="B274" s="6"/>
      <c r="G274" s="20">
        <v>45373</v>
      </c>
      <c r="H274" s="22">
        <v>0.375</v>
      </c>
      <c r="I274" s="21">
        <v>53.74</v>
      </c>
      <c r="J274" s="21">
        <v>23.78</v>
      </c>
      <c r="K274" s="21">
        <v>434.94</v>
      </c>
    </row>
    <row r="275" spans="1:11" ht="15.75" customHeight="1" x14ac:dyDescent="0.2">
      <c r="A275" s="6"/>
      <c r="B275" s="6"/>
      <c r="G275" s="20">
        <v>45373</v>
      </c>
      <c r="H275" s="22">
        <v>0.41666666666666669</v>
      </c>
      <c r="I275" s="21">
        <v>51.07</v>
      </c>
      <c r="J275" s="21">
        <v>23.71</v>
      </c>
      <c r="K275" s="21">
        <v>427.19</v>
      </c>
    </row>
    <row r="276" spans="1:11" ht="15.75" customHeight="1" x14ac:dyDescent="0.2">
      <c r="A276" s="6"/>
      <c r="B276" s="6"/>
      <c r="G276" s="20">
        <v>45373</v>
      </c>
      <c r="H276" s="22">
        <v>0.45833333333333331</v>
      </c>
      <c r="I276" s="21">
        <v>49.26</v>
      </c>
      <c r="J276" s="21">
        <v>23.88</v>
      </c>
      <c r="K276" s="21">
        <v>417.11</v>
      </c>
    </row>
    <row r="277" spans="1:11" ht="15.75" customHeight="1" x14ac:dyDescent="0.2">
      <c r="A277" s="6"/>
      <c r="B277" s="6"/>
      <c r="G277" s="20">
        <v>45373</v>
      </c>
      <c r="H277" s="22">
        <v>0.5</v>
      </c>
      <c r="I277" s="21">
        <v>48.62</v>
      </c>
      <c r="J277" s="21">
        <v>24.43</v>
      </c>
      <c r="K277" s="21">
        <v>409.99</v>
      </c>
    </row>
    <row r="278" spans="1:11" ht="15.75" customHeight="1" x14ac:dyDescent="0.2">
      <c r="A278" s="6"/>
      <c r="B278" s="6"/>
      <c r="G278" s="20">
        <v>45373</v>
      </c>
      <c r="H278" s="22">
        <v>0.54166666666666663</v>
      </c>
      <c r="I278" s="21">
        <v>48.9</v>
      </c>
      <c r="J278" s="21">
        <v>24.35</v>
      </c>
      <c r="K278" s="21">
        <v>408.39</v>
      </c>
    </row>
    <row r="279" spans="1:11" ht="15.75" customHeight="1" x14ac:dyDescent="0.2">
      <c r="A279" s="6"/>
      <c r="B279" s="6"/>
      <c r="G279" s="20">
        <v>45373</v>
      </c>
      <c r="H279" s="22">
        <v>0.58333333333333337</v>
      </c>
      <c r="I279" s="21">
        <v>49.81</v>
      </c>
      <c r="J279" s="21">
        <v>23.95</v>
      </c>
      <c r="K279" s="21">
        <v>406.99</v>
      </c>
    </row>
    <row r="280" spans="1:11" ht="15.75" customHeight="1" x14ac:dyDescent="0.2">
      <c r="A280" s="6"/>
      <c r="B280" s="6"/>
      <c r="G280" s="20">
        <v>45373</v>
      </c>
      <c r="H280" s="22">
        <v>0.625</v>
      </c>
      <c r="I280" s="21">
        <v>50.34</v>
      </c>
      <c r="J280" s="21">
        <v>24.19</v>
      </c>
      <c r="K280" s="21">
        <v>406.78</v>
      </c>
    </row>
    <row r="281" spans="1:11" ht="15.75" customHeight="1" x14ac:dyDescent="0.2">
      <c r="A281" s="6"/>
      <c r="B281" s="6"/>
      <c r="G281" s="20">
        <v>45373</v>
      </c>
      <c r="H281" s="22">
        <v>0.66666666666666663</v>
      </c>
      <c r="I281" s="21">
        <v>51.46</v>
      </c>
      <c r="J281" s="21">
        <v>25.6</v>
      </c>
      <c r="K281" s="21">
        <v>423.18</v>
      </c>
    </row>
    <row r="282" spans="1:11" ht="15.75" customHeight="1" x14ac:dyDescent="0.2">
      <c r="A282" s="6"/>
      <c r="B282" s="6"/>
      <c r="G282" s="20">
        <v>45373</v>
      </c>
      <c r="H282" s="22">
        <v>0.70833333333333337</v>
      </c>
      <c r="I282" s="21">
        <v>52.92</v>
      </c>
      <c r="J282" s="21">
        <v>21.93</v>
      </c>
      <c r="K282" s="21">
        <v>451.51</v>
      </c>
    </row>
    <row r="283" spans="1:11" ht="15.75" customHeight="1" x14ac:dyDescent="0.2">
      <c r="A283" s="6"/>
      <c r="B283" s="6"/>
      <c r="G283" s="20">
        <v>45373</v>
      </c>
      <c r="H283" s="22">
        <v>0.75</v>
      </c>
      <c r="I283" s="21">
        <v>55.15</v>
      </c>
      <c r="J283" s="21">
        <v>17.22</v>
      </c>
      <c r="K283" s="21">
        <v>460.8</v>
      </c>
    </row>
    <row r="284" spans="1:11" ht="15.75" customHeight="1" x14ac:dyDescent="0.2">
      <c r="A284" s="6"/>
      <c r="B284" s="6"/>
      <c r="G284" s="20">
        <v>45373</v>
      </c>
      <c r="H284" s="22">
        <v>0.79166666666666663</v>
      </c>
      <c r="I284" s="21">
        <v>57.48</v>
      </c>
      <c r="J284" s="21">
        <v>15.6</v>
      </c>
      <c r="K284" s="21">
        <v>469.76</v>
      </c>
    </row>
    <row r="285" spans="1:11" ht="15.75" customHeight="1" x14ac:dyDescent="0.2">
      <c r="A285" s="6"/>
      <c r="B285" s="6"/>
      <c r="G285" s="20">
        <v>45373</v>
      </c>
      <c r="H285" s="22">
        <v>0.83333333333333337</v>
      </c>
      <c r="I285" s="21">
        <v>59.24</v>
      </c>
      <c r="J285" s="21">
        <v>14.68</v>
      </c>
      <c r="K285" s="21">
        <v>473.09</v>
      </c>
    </row>
    <row r="286" spans="1:11" ht="15.75" customHeight="1" x14ac:dyDescent="0.2">
      <c r="A286" s="6"/>
      <c r="B286" s="6"/>
      <c r="G286" s="20">
        <v>45373</v>
      </c>
      <c r="H286" s="22">
        <v>0.875</v>
      </c>
      <c r="I286" s="21">
        <v>60.33</v>
      </c>
      <c r="J286" s="21">
        <v>13.79</v>
      </c>
      <c r="K286" s="21">
        <v>478.16</v>
      </c>
    </row>
    <row r="287" spans="1:11" ht="15.75" customHeight="1" x14ac:dyDescent="0.2">
      <c r="A287" s="6"/>
      <c r="B287" s="6"/>
      <c r="G287" s="20">
        <v>45373</v>
      </c>
      <c r="H287" s="22">
        <v>0.91666666666666663</v>
      </c>
      <c r="I287" s="21">
        <v>61.4</v>
      </c>
      <c r="J287" s="21">
        <v>13.25</v>
      </c>
      <c r="K287" s="21">
        <v>481.17</v>
      </c>
    </row>
    <row r="288" spans="1:11" ht="15.75" customHeight="1" x14ac:dyDescent="0.2">
      <c r="A288" s="6"/>
      <c r="B288" s="6"/>
      <c r="G288" s="20">
        <v>45374</v>
      </c>
      <c r="H288" s="22">
        <v>0.95833333333333337</v>
      </c>
      <c r="I288" s="21">
        <v>61.71</v>
      </c>
      <c r="J288" s="21">
        <v>12.85</v>
      </c>
      <c r="K288" s="21">
        <v>486.51</v>
      </c>
    </row>
    <row r="289" spans="1:11" ht="15.75" customHeight="1" x14ac:dyDescent="0.2">
      <c r="A289" s="6"/>
      <c r="B289" s="6"/>
      <c r="G289" s="20">
        <v>45374</v>
      </c>
      <c r="H289" s="22">
        <v>0</v>
      </c>
      <c r="I289" s="21">
        <v>62.04</v>
      </c>
      <c r="J289" s="21">
        <v>12.34</v>
      </c>
      <c r="K289" s="21">
        <v>488.97</v>
      </c>
    </row>
    <row r="290" spans="1:11" ht="15.75" customHeight="1" x14ac:dyDescent="0.2">
      <c r="A290" s="6"/>
      <c r="B290" s="6"/>
      <c r="G290" s="20">
        <v>45374</v>
      </c>
      <c r="H290" s="22">
        <v>4.1666666666666664E-2</v>
      </c>
      <c r="I290" s="21">
        <v>62.54</v>
      </c>
      <c r="J290" s="21">
        <v>11.56</v>
      </c>
      <c r="K290" s="21">
        <v>497.12</v>
      </c>
    </row>
    <row r="291" spans="1:11" ht="15.75" customHeight="1" x14ac:dyDescent="0.2">
      <c r="A291" s="6"/>
      <c r="B291" s="6"/>
      <c r="G291" s="20">
        <v>45374</v>
      </c>
      <c r="H291" s="22">
        <v>8.3333333333333329E-2</v>
      </c>
      <c r="I291" s="21">
        <v>63.27</v>
      </c>
      <c r="J291" s="21">
        <v>11.14</v>
      </c>
      <c r="K291" s="21">
        <v>504.02</v>
      </c>
    </row>
    <row r="292" spans="1:11" ht="15.75" customHeight="1" x14ac:dyDescent="0.2">
      <c r="A292" s="6"/>
      <c r="B292" s="6"/>
      <c r="G292" s="20">
        <v>45374</v>
      </c>
      <c r="H292" s="22">
        <v>0.125</v>
      </c>
      <c r="I292" s="21">
        <v>63.5</v>
      </c>
      <c r="J292" s="21">
        <v>10.78</v>
      </c>
      <c r="K292" s="21">
        <v>509.75</v>
      </c>
    </row>
    <row r="293" spans="1:11" ht="15.75" customHeight="1" x14ac:dyDescent="0.2">
      <c r="A293" s="6"/>
      <c r="B293" s="6"/>
      <c r="G293" s="20">
        <v>45374</v>
      </c>
      <c r="H293" s="22">
        <v>0.16666666666666666</v>
      </c>
      <c r="I293" s="21">
        <v>63.42</v>
      </c>
      <c r="J293" s="21">
        <v>10.58</v>
      </c>
      <c r="K293" s="21">
        <v>513.62</v>
      </c>
    </row>
    <row r="294" spans="1:11" ht="15.75" customHeight="1" x14ac:dyDescent="0.2">
      <c r="A294" s="6"/>
      <c r="B294" s="6"/>
      <c r="G294" s="20">
        <v>45374</v>
      </c>
      <c r="H294" s="22">
        <v>0.20833333333333334</v>
      </c>
      <c r="I294" s="21">
        <v>63.92</v>
      </c>
      <c r="J294" s="21">
        <v>10.34</v>
      </c>
      <c r="K294" s="21">
        <v>515.27</v>
      </c>
    </row>
    <row r="295" spans="1:11" ht="15.75" customHeight="1" x14ac:dyDescent="0.2">
      <c r="A295" s="6"/>
      <c r="B295" s="6"/>
      <c r="G295" s="20">
        <v>45374</v>
      </c>
      <c r="H295" s="22">
        <v>0.25</v>
      </c>
      <c r="I295" s="21">
        <v>63.44</v>
      </c>
      <c r="J295" s="21">
        <v>12.77</v>
      </c>
      <c r="K295" s="21">
        <v>493.65</v>
      </c>
    </row>
    <row r="296" spans="1:11" ht="15.75" customHeight="1" x14ac:dyDescent="0.2">
      <c r="A296" s="6"/>
      <c r="B296" s="6"/>
      <c r="G296" s="20">
        <v>45374</v>
      </c>
      <c r="H296" s="22">
        <v>0.29166666666666669</v>
      </c>
      <c r="I296" s="21">
        <v>58.49</v>
      </c>
      <c r="J296" s="21">
        <v>22.36</v>
      </c>
      <c r="K296" s="21">
        <v>457.98</v>
      </c>
    </row>
    <row r="297" spans="1:11" ht="15.75" customHeight="1" x14ac:dyDescent="0.2">
      <c r="A297" s="6"/>
      <c r="B297" s="6"/>
      <c r="G297" s="20">
        <v>45374</v>
      </c>
      <c r="H297" s="22">
        <v>0.33333333333333331</v>
      </c>
      <c r="I297" s="21">
        <v>54.68</v>
      </c>
      <c r="J297" s="21">
        <v>24.56</v>
      </c>
      <c r="K297" s="21">
        <v>442.59</v>
      </c>
    </row>
    <row r="298" spans="1:11" ht="15.75" customHeight="1" x14ac:dyDescent="0.2">
      <c r="A298" s="6"/>
      <c r="B298" s="6"/>
      <c r="G298" s="20">
        <v>45374</v>
      </c>
      <c r="H298" s="22">
        <v>0.375</v>
      </c>
      <c r="I298" s="21">
        <v>52.23</v>
      </c>
      <c r="J298" s="21">
        <v>23.78</v>
      </c>
      <c r="K298" s="21">
        <v>442.59</v>
      </c>
    </row>
    <row r="299" spans="1:11" ht="15.75" customHeight="1" x14ac:dyDescent="0.2">
      <c r="A299" s="6"/>
      <c r="B299" s="6"/>
      <c r="G299" s="20">
        <v>45374</v>
      </c>
      <c r="H299" s="22">
        <v>0.375</v>
      </c>
      <c r="I299" s="21">
        <v>52.23</v>
      </c>
      <c r="J299" s="21">
        <v>23.78</v>
      </c>
      <c r="K299" s="21">
        <v>433.36</v>
      </c>
    </row>
    <row r="300" spans="1:11" ht="15.75" customHeight="1" x14ac:dyDescent="0.2">
      <c r="A300" s="6"/>
      <c r="B300" s="6"/>
      <c r="G300" s="20">
        <v>45374</v>
      </c>
      <c r="H300" s="22">
        <v>0.41666666666666669</v>
      </c>
      <c r="I300" s="21">
        <v>49.97</v>
      </c>
      <c r="J300" s="21">
        <v>23.68</v>
      </c>
      <c r="K300" s="21">
        <v>423.93</v>
      </c>
    </row>
    <row r="301" spans="1:11" ht="15.75" customHeight="1" x14ac:dyDescent="0.2">
      <c r="A301" s="6"/>
      <c r="B301" s="6"/>
      <c r="G301" s="20">
        <v>45374</v>
      </c>
      <c r="H301" s="22">
        <v>0.45833333333333331</v>
      </c>
      <c r="I301" s="21">
        <v>48.27</v>
      </c>
      <c r="J301" s="21">
        <v>23.99</v>
      </c>
      <c r="K301" s="21">
        <v>416.9</v>
      </c>
    </row>
    <row r="302" spans="1:11" ht="15.75" customHeight="1" x14ac:dyDescent="0.2">
      <c r="A302" s="6"/>
      <c r="B302" s="6"/>
      <c r="G302" s="20">
        <v>45374</v>
      </c>
      <c r="H302" s="22">
        <v>0.5</v>
      </c>
      <c r="I302" s="21">
        <v>47.66</v>
      </c>
      <c r="J302" s="21">
        <v>24.6</v>
      </c>
      <c r="K302" s="21">
        <v>413.21</v>
      </c>
    </row>
    <row r="303" spans="1:11" ht="15.75" customHeight="1" x14ac:dyDescent="0.2">
      <c r="A303" s="6"/>
      <c r="B303" s="6"/>
      <c r="G303" s="20">
        <v>45374</v>
      </c>
      <c r="H303" s="22">
        <v>0.54166666666666663</v>
      </c>
      <c r="I303" s="21">
        <v>47.58</v>
      </c>
      <c r="J303" s="21">
        <v>24.38</v>
      </c>
      <c r="K303" s="21">
        <v>410.46</v>
      </c>
    </row>
    <row r="304" spans="1:11" ht="15.75" customHeight="1" x14ac:dyDescent="0.2">
      <c r="A304" s="6"/>
      <c r="B304" s="6"/>
      <c r="G304" s="20">
        <v>45374</v>
      </c>
      <c r="H304" s="22">
        <v>0.58333333333333337</v>
      </c>
      <c r="I304" s="21">
        <v>48.25</v>
      </c>
      <c r="J304" s="21">
        <v>24.7</v>
      </c>
      <c r="K304" s="21">
        <v>408.7</v>
      </c>
    </row>
    <row r="305" spans="1:11" ht="15.75" customHeight="1" x14ac:dyDescent="0.2">
      <c r="A305" s="6"/>
      <c r="B305" s="6"/>
      <c r="G305" s="20">
        <v>45374</v>
      </c>
      <c r="H305" s="22">
        <v>0.625</v>
      </c>
      <c r="I305" s="21">
        <v>49.12</v>
      </c>
      <c r="J305" s="21">
        <v>25.18</v>
      </c>
      <c r="K305" s="21">
        <v>411.43</v>
      </c>
    </row>
    <row r="306" spans="1:11" ht="15.75" customHeight="1" x14ac:dyDescent="0.2">
      <c r="A306" s="6"/>
      <c r="B306" s="6"/>
      <c r="G306" s="20">
        <v>45374</v>
      </c>
      <c r="H306" s="22">
        <v>0.66666666666666663</v>
      </c>
      <c r="I306" s="21">
        <v>50.55</v>
      </c>
      <c r="J306" s="21">
        <v>25.37</v>
      </c>
      <c r="K306" s="21">
        <v>419.56</v>
      </c>
    </row>
    <row r="307" spans="1:11" ht="15.75" customHeight="1" x14ac:dyDescent="0.2">
      <c r="A307" s="6"/>
      <c r="B307" s="6"/>
      <c r="G307" s="20">
        <v>45374</v>
      </c>
      <c r="H307" s="22">
        <v>0.70833333333333337</v>
      </c>
      <c r="I307" s="21">
        <v>52.24</v>
      </c>
      <c r="J307" s="21">
        <v>21.32</v>
      </c>
      <c r="K307" s="21">
        <v>442.29</v>
      </c>
    </row>
    <row r="308" spans="1:11" ht="15.75" customHeight="1" x14ac:dyDescent="0.2">
      <c r="A308" s="6"/>
      <c r="B308" s="6"/>
      <c r="G308" s="20">
        <v>45374</v>
      </c>
      <c r="H308" s="22">
        <v>0.75</v>
      </c>
      <c r="I308" s="21">
        <v>54.36</v>
      </c>
      <c r="J308" s="21">
        <v>16.7</v>
      </c>
      <c r="K308" s="21">
        <v>448.55</v>
      </c>
    </row>
    <row r="309" spans="1:11" ht="15.75" customHeight="1" x14ac:dyDescent="0.2">
      <c r="A309" s="6"/>
      <c r="B309" s="6"/>
      <c r="G309" s="20">
        <v>45374</v>
      </c>
      <c r="H309" s="22">
        <v>0.79166666666666663</v>
      </c>
      <c r="I309" s="21">
        <v>56.1</v>
      </c>
      <c r="J309" s="21">
        <v>15.15</v>
      </c>
      <c r="K309" s="21">
        <v>454.59</v>
      </c>
    </row>
    <row r="310" spans="1:11" ht="15.75" customHeight="1" x14ac:dyDescent="0.2">
      <c r="A310" s="6"/>
      <c r="B310" s="6"/>
      <c r="G310" s="20">
        <v>45374</v>
      </c>
      <c r="H310" s="22">
        <v>0.83333333333333337</v>
      </c>
      <c r="I310" s="21">
        <v>57.65</v>
      </c>
      <c r="J310" s="21">
        <v>14.48</v>
      </c>
      <c r="K310" s="21">
        <v>461.71</v>
      </c>
    </row>
    <row r="311" spans="1:11" ht="15.75" customHeight="1" x14ac:dyDescent="0.2">
      <c r="A311" s="6"/>
      <c r="B311" s="6"/>
      <c r="G311" s="20">
        <v>45374</v>
      </c>
      <c r="H311" s="22">
        <v>0.875</v>
      </c>
      <c r="I311" s="21">
        <v>59.15</v>
      </c>
      <c r="J311" s="21">
        <v>14.15</v>
      </c>
      <c r="K311" s="21">
        <v>468.41</v>
      </c>
    </row>
    <row r="312" spans="1:11" ht="15.75" customHeight="1" x14ac:dyDescent="0.2">
      <c r="A312" s="6"/>
      <c r="B312" s="6"/>
      <c r="G312" s="20">
        <v>45374</v>
      </c>
      <c r="H312" s="22">
        <v>0.91666666666666663</v>
      </c>
      <c r="I312" s="21">
        <v>60.08</v>
      </c>
      <c r="J312" s="21">
        <v>13.98</v>
      </c>
      <c r="K312" s="21">
        <v>471.45</v>
      </c>
    </row>
    <row r="313" spans="1:11" ht="15.75" customHeight="1" x14ac:dyDescent="0.2">
      <c r="A313" s="6"/>
      <c r="B313" s="6"/>
      <c r="G313" s="20">
        <v>45375</v>
      </c>
      <c r="H313" s="22">
        <v>0.95833333333333337</v>
      </c>
      <c r="I313" s="21">
        <v>60.96</v>
      </c>
      <c r="J313" s="21">
        <v>13.29</v>
      </c>
      <c r="K313" s="21">
        <v>474.5</v>
      </c>
    </row>
    <row r="314" spans="1:11" ht="15.75" customHeight="1" x14ac:dyDescent="0.2">
      <c r="A314" s="6"/>
      <c r="B314" s="6"/>
      <c r="G314" s="20">
        <v>45375</v>
      </c>
      <c r="H314" s="22">
        <v>0</v>
      </c>
      <c r="I314" s="21">
        <v>61.45</v>
      </c>
      <c r="J314" s="21">
        <v>12.84</v>
      </c>
      <c r="K314" s="21">
        <v>482.5</v>
      </c>
    </row>
    <row r="315" spans="1:11" ht="15.75" customHeight="1" x14ac:dyDescent="0.2">
      <c r="A315" s="6"/>
      <c r="B315" s="6"/>
      <c r="G315" s="20">
        <v>45375</v>
      </c>
      <c r="H315" s="22">
        <v>4.1666666666666664E-2</v>
      </c>
      <c r="I315" s="21">
        <v>62.05</v>
      </c>
      <c r="J315" s="21">
        <v>13.68</v>
      </c>
      <c r="K315" s="21">
        <v>488.11</v>
      </c>
    </row>
    <row r="316" spans="1:11" ht="15.75" customHeight="1" x14ac:dyDescent="0.2">
      <c r="A316" s="6"/>
      <c r="B316" s="6"/>
      <c r="G316" s="20">
        <v>45375</v>
      </c>
      <c r="H316" s="22">
        <v>8.3333333333333329E-2</v>
      </c>
      <c r="I316" s="21">
        <v>62.19</v>
      </c>
      <c r="J316" s="21">
        <v>13.5</v>
      </c>
      <c r="K316" s="21">
        <v>493.81</v>
      </c>
    </row>
    <row r="317" spans="1:11" ht="15.75" customHeight="1" x14ac:dyDescent="0.2">
      <c r="A317" s="6"/>
      <c r="B317" s="6"/>
      <c r="G317" s="20">
        <v>45375</v>
      </c>
      <c r="H317" s="22">
        <v>0.125</v>
      </c>
      <c r="I317" s="21">
        <v>62.48</v>
      </c>
      <c r="J317" s="21">
        <v>13.48</v>
      </c>
      <c r="K317" s="21">
        <v>499.34</v>
      </c>
    </row>
    <row r="318" spans="1:11" ht="15.75" customHeight="1" x14ac:dyDescent="0.2">
      <c r="A318" s="6"/>
      <c r="B318" s="6"/>
      <c r="G318" s="20">
        <v>45375</v>
      </c>
      <c r="H318" s="22">
        <v>0.16666666666666666</v>
      </c>
      <c r="I318" s="21">
        <v>62.74</v>
      </c>
      <c r="J318" s="21">
        <v>12.59</v>
      </c>
      <c r="K318" s="21">
        <v>504.21</v>
      </c>
    </row>
    <row r="319" spans="1:11" ht="15.75" customHeight="1" x14ac:dyDescent="0.2">
      <c r="A319" s="6"/>
      <c r="B319" s="6"/>
      <c r="G319" s="20">
        <v>45375</v>
      </c>
      <c r="H319" s="22">
        <v>0.20833333333333334</v>
      </c>
      <c r="I319" s="21">
        <v>63.28</v>
      </c>
      <c r="J319" s="21">
        <v>12.38</v>
      </c>
      <c r="K319" s="21">
        <v>507.8</v>
      </c>
    </row>
    <row r="320" spans="1:11" ht="15.75" customHeight="1" x14ac:dyDescent="0.2">
      <c r="A320" s="6"/>
      <c r="B320" s="6"/>
      <c r="G320" s="20">
        <v>45375</v>
      </c>
      <c r="H320" s="22">
        <v>0.25</v>
      </c>
      <c r="I320" s="21">
        <v>63.19</v>
      </c>
      <c r="J320" s="21">
        <v>14.26</v>
      </c>
      <c r="K320" s="21">
        <v>498.63</v>
      </c>
    </row>
    <row r="321" spans="1:11" ht="15.75" customHeight="1" x14ac:dyDescent="0.2">
      <c r="A321" s="6"/>
      <c r="B321" s="6"/>
      <c r="G321" s="20">
        <v>45375</v>
      </c>
      <c r="H321" s="22">
        <v>0.29166666666666669</v>
      </c>
      <c r="I321" s="21">
        <v>60.99</v>
      </c>
      <c r="J321" s="21">
        <v>18.260000000000002</v>
      </c>
      <c r="K321" s="21">
        <v>458.3</v>
      </c>
    </row>
    <row r="322" spans="1:11" ht="15.75" customHeight="1" x14ac:dyDescent="0.2">
      <c r="A322" s="6"/>
      <c r="B322" s="6"/>
      <c r="G322" s="20">
        <v>45375</v>
      </c>
      <c r="H322" s="22">
        <v>0.33333333333333331</v>
      </c>
      <c r="I322" s="21">
        <v>56.68</v>
      </c>
      <c r="J322" s="21">
        <v>24.17</v>
      </c>
      <c r="K322" s="21">
        <v>440.14</v>
      </c>
    </row>
    <row r="323" spans="1:11" ht="15.75" customHeight="1" x14ac:dyDescent="0.2">
      <c r="A323" s="6"/>
      <c r="B323" s="6"/>
      <c r="G323" s="20">
        <v>45375</v>
      </c>
      <c r="H323" s="22">
        <v>0.375</v>
      </c>
      <c r="I323" s="21">
        <v>53.12</v>
      </c>
      <c r="J323" s="21">
        <v>23.83</v>
      </c>
      <c r="K323" s="21">
        <v>432</v>
      </c>
    </row>
    <row r="324" spans="1:11" ht="15.75" customHeight="1" x14ac:dyDescent="0.2">
      <c r="A324" s="6"/>
      <c r="B324" s="6"/>
      <c r="G324" s="20">
        <v>45375</v>
      </c>
      <c r="H324" s="22">
        <v>0.41666666666666669</v>
      </c>
      <c r="I324" s="21">
        <v>51.96</v>
      </c>
      <c r="J324" s="21">
        <v>24.37</v>
      </c>
      <c r="K324" s="21">
        <v>436.46</v>
      </c>
    </row>
    <row r="325" spans="1:11" ht="15.75" customHeight="1" x14ac:dyDescent="0.2">
      <c r="A325" s="6"/>
      <c r="B325" s="6"/>
      <c r="G325" s="20">
        <v>45375</v>
      </c>
      <c r="H325" s="22">
        <v>0.45833333333333331</v>
      </c>
      <c r="I325" s="21">
        <v>54.67</v>
      </c>
      <c r="J325" s="21">
        <v>22.77</v>
      </c>
      <c r="K325" s="21">
        <v>440.54</v>
      </c>
    </row>
    <row r="326" spans="1:11" ht="15.75" customHeight="1" x14ac:dyDescent="0.2">
      <c r="A326" s="6"/>
      <c r="B326" s="6"/>
      <c r="G326" s="20">
        <v>45375</v>
      </c>
      <c r="H326" s="22">
        <v>0.5</v>
      </c>
      <c r="I326" s="21">
        <v>54.9</v>
      </c>
      <c r="J326" s="21">
        <v>22.9</v>
      </c>
      <c r="K326" s="21">
        <v>429.84</v>
      </c>
    </row>
    <row r="327" spans="1:11" ht="15.75" customHeight="1" x14ac:dyDescent="0.2">
      <c r="A327" s="6"/>
      <c r="B327" s="6"/>
      <c r="G327" s="20">
        <v>45375</v>
      </c>
      <c r="H327" s="22">
        <v>0.54166666666666663</v>
      </c>
      <c r="I327" s="21">
        <v>51.9</v>
      </c>
      <c r="J327" s="21">
        <v>23.59</v>
      </c>
      <c r="K327" s="21">
        <v>430.03</v>
      </c>
    </row>
    <row r="328" spans="1:11" ht="15.75" customHeight="1" x14ac:dyDescent="0.2">
      <c r="A328" s="6"/>
      <c r="B328" s="6"/>
      <c r="G328" s="20">
        <v>45375</v>
      </c>
      <c r="H328" s="22">
        <v>0.58333333333333337</v>
      </c>
      <c r="I328" s="21">
        <v>53.74</v>
      </c>
      <c r="J328" s="21">
        <v>24.9</v>
      </c>
      <c r="K328" s="21">
        <v>432.04</v>
      </c>
    </row>
    <row r="329" spans="1:11" ht="15.75" customHeight="1" x14ac:dyDescent="0.2">
      <c r="A329" s="6"/>
      <c r="B329" s="6"/>
      <c r="G329" s="20">
        <v>45375</v>
      </c>
      <c r="H329" s="22">
        <v>0.625</v>
      </c>
      <c r="I329" s="21">
        <v>53.94</v>
      </c>
      <c r="J329" s="21">
        <v>24.12</v>
      </c>
      <c r="K329" s="21">
        <v>420.59</v>
      </c>
    </row>
    <row r="330" spans="1:11" ht="15.75" customHeight="1" x14ac:dyDescent="0.2">
      <c r="A330" s="6"/>
      <c r="B330" s="6"/>
      <c r="G330" s="20">
        <v>45375</v>
      </c>
      <c r="H330" s="22">
        <v>0.66666666666666663</v>
      </c>
      <c r="I330" s="21">
        <v>54.5</v>
      </c>
      <c r="J330" s="21">
        <v>24.33</v>
      </c>
      <c r="K330" s="21">
        <v>432.06</v>
      </c>
    </row>
    <row r="331" spans="1:11" ht="15.75" customHeight="1" x14ac:dyDescent="0.2">
      <c r="A331" s="6"/>
      <c r="B331" s="6"/>
      <c r="G331" s="20">
        <v>45375</v>
      </c>
      <c r="H331" s="22">
        <v>0.70833333333333337</v>
      </c>
      <c r="I331" s="21">
        <v>55.6</v>
      </c>
      <c r="J331" s="21">
        <v>20.29</v>
      </c>
      <c r="K331" s="21">
        <v>451.48</v>
      </c>
    </row>
    <row r="332" spans="1:11" ht="15.75" customHeight="1" x14ac:dyDescent="0.2">
      <c r="A332" s="6"/>
      <c r="B332" s="6"/>
      <c r="G332" s="20">
        <v>45375</v>
      </c>
      <c r="H332" s="22">
        <v>0.75</v>
      </c>
      <c r="I332" s="21">
        <v>57.51</v>
      </c>
      <c r="J332" s="21">
        <v>17.489999999999998</v>
      </c>
      <c r="K332" s="21">
        <v>459.88</v>
      </c>
    </row>
    <row r="333" spans="1:11" ht="15.75" customHeight="1" x14ac:dyDescent="0.2">
      <c r="A333" s="6"/>
      <c r="B333" s="6"/>
      <c r="G333" s="20">
        <v>45375</v>
      </c>
      <c r="H333" s="22">
        <v>0.79166666666666663</v>
      </c>
      <c r="I333" s="21">
        <v>58.95</v>
      </c>
      <c r="J333" s="21">
        <v>14.84</v>
      </c>
      <c r="K333" s="21">
        <v>472.48</v>
      </c>
    </row>
    <row r="334" spans="1:11" ht="15.75" customHeight="1" x14ac:dyDescent="0.2">
      <c r="A334" s="6"/>
      <c r="B334" s="6"/>
      <c r="G334" s="20">
        <v>45375</v>
      </c>
      <c r="H334" s="22">
        <v>0.83333333333333337</v>
      </c>
      <c r="I334" s="21">
        <v>60.79</v>
      </c>
      <c r="J334" s="21">
        <v>13.79</v>
      </c>
      <c r="K334" s="21">
        <v>476.9</v>
      </c>
    </row>
    <row r="335" spans="1:11" ht="15.75" customHeight="1" x14ac:dyDescent="0.2">
      <c r="A335" s="6"/>
      <c r="B335" s="6"/>
      <c r="G335" s="20">
        <v>45375</v>
      </c>
      <c r="H335" s="22">
        <v>0.875</v>
      </c>
      <c r="I335" s="21">
        <v>61.48</v>
      </c>
      <c r="J335" s="21">
        <v>12.78</v>
      </c>
      <c r="K335" s="21">
        <v>485.18</v>
      </c>
    </row>
    <row r="336" spans="1:11" ht="15.75" customHeight="1" x14ac:dyDescent="0.2">
      <c r="A336" s="6"/>
      <c r="B336" s="6"/>
      <c r="G336" s="20">
        <v>45375</v>
      </c>
      <c r="H336" s="22">
        <v>0.91666666666666663</v>
      </c>
      <c r="I336" s="21">
        <v>62.34</v>
      </c>
      <c r="J336" s="21">
        <v>12.45</v>
      </c>
      <c r="K336" s="21">
        <v>487.91</v>
      </c>
    </row>
    <row r="337" spans="1:11" ht="15.75" customHeight="1" x14ac:dyDescent="0.2">
      <c r="A337" s="6"/>
      <c r="B337" s="6"/>
      <c r="G337" s="20">
        <v>45376</v>
      </c>
      <c r="H337" s="22">
        <v>0.95833333333333337</v>
      </c>
      <c r="I337" s="21">
        <v>62.63</v>
      </c>
      <c r="J337" s="21">
        <v>11.96</v>
      </c>
      <c r="K337" s="21">
        <v>492.53</v>
      </c>
    </row>
    <row r="338" spans="1:11" ht="15.75" customHeight="1" x14ac:dyDescent="0.2">
      <c r="A338" s="6"/>
      <c r="B338" s="6"/>
      <c r="G338" s="20">
        <v>45376</v>
      </c>
      <c r="H338" s="22">
        <v>0</v>
      </c>
      <c r="I338" s="21">
        <v>62.58</v>
      </c>
      <c r="J338" s="21">
        <v>11.2</v>
      </c>
      <c r="K338" s="21">
        <v>502.51</v>
      </c>
    </row>
    <row r="339" spans="1:11" ht="15.75" customHeight="1" x14ac:dyDescent="0.2">
      <c r="A339" s="6"/>
      <c r="B339" s="6"/>
      <c r="G339" s="20">
        <v>45376</v>
      </c>
      <c r="H339" s="22">
        <v>4.1666666666666664E-2</v>
      </c>
      <c r="I339" s="21">
        <v>63.5</v>
      </c>
      <c r="J339" s="21">
        <v>10.68</v>
      </c>
      <c r="K339" s="21">
        <v>509.35</v>
      </c>
    </row>
    <row r="340" spans="1:11" ht="15.75" customHeight="1" x14ac:dyDescent="0.2">
      <c r="A340" s="6"/>
      <c r="B340" s="6"/>
      <c r="G340" s="20">
        <v>45376</v>
      </c>
      <c r="H340" s="22">
        <v>8.3333333333333329E-2</v>
      </c>
      <c r="I340" s="21">
        <v>63.33</v>
      </c>
      <c r="J340" s="21">
        <v>10.38</v>
      </c>
      <c r="K340" s="21">
        <v>521.04999999999995</v>
      </c>
    </row>
    <row r="341" spans="1:11" ht="15.75" customHeight="1" x14ac:dyDescent="0.2">
      <c r="A341" s="6"/>
      <c r="B341" s="6"/>
      <c r="G341" s="20">
        <v>45376</v>
      </c>
      <c r="H341" s="22">
        <v>0.125</v>
      </c>
      <c r="I341" s="21">
        <v>63.79</v>
      </c>
      <c r="J341" s="21">
        <v>11.54</v>
      </c>
      <c r="K341" s="21">
        <v>525.38</v>
      </c>
    </row>
    <row r="342" spans="1:11" ht="15.75" customHeight="1" x14ac:dyDescent="0.2">
      <c r="A342" s="6"/>
      <c r="B342" s="6"/>
      <c r="G342" s="20">
        <v>45376</v>
      </c>
      <c r="H342" s="22">
        <v>0.16666666666666666</v>
      </c>
      <c r="I342" s="21">
        <v>63.48</v>
      </c>
      <c r="J342" s="21">
        <v>11.38</v>
      </c>
      <c r="K342" s="21">
        <v>533.48</v>
      </c>
    </row>
    <row r="343" spans="1:11" ht="15.75" customHeight="1" x14ac:dyDescent="0.2">
      <c r="A343" s="6"/>
      <c r="B343" s="6"/>
      <c r="G343" s="20">
        <v>45376</v>
      </c>
      <c r="H343" s="22">
        <v>0.20833333333333334</v>
      </c>
      <c r="I343" s="21">
        <v>64.739999999999995</v>
      </c>
      <c r="J343" s="21">
        <v>10.16</v>
      </c>
      <c r="K343" s="21">
        <v>541.66</v>
      </c>
    </row>
    <row r="344" spans="1:11" ht="15.75" customHeight="1" x14ac:dyDescent="0.2">
      <c r="A344" s="6"/>
      <c r="B344" s="6"/>
      <c r="G344" s="20">
        <v>45376</v>
      </c>
      <c r="H344" s="22">
        <v>0.25</v>
      </c>
      <c r="I344" s="21">
        <v>63.71</v>
      </c>
      <c r="J344" s="21">
        <v>12.68</v>
      </c>
      <c r="K344" s="21">
        <v>517.87</v>
      </c>
    </row>
    <row r="345" spans="1:11" ht="15.75" customHeight="1" x14ac:dyDescent="0.2">
      <c r="A345" s="6"/>
      <c r="B345" s="6"/>
      <c r="G345" s="20">
        <v>45376</v>
      </c>
      <c r="H345" s="22">
        <v>0.29166666666666669</v>
      </c>
      <c r="I345" s="21">
        <v>58.5</v>
      </c>
      <c r="J345" s="21">
        <v>22.28</v>
      </c>
      <c r="K345" s="21">
        <v>479.26</v>
      </c>
    </row>
    <row r="346" spans="1:11" ht="15.75" customHeight="1" x14ac:dyDescent="0.2">
      <c r="A346" s="6"/>
      <c r="B346" s="6"/>
      <c r="G346" s="20">
        <v>45376</v>
      </c>
      <c r="H346" s="22">
        <v>0.33333333333333331</v>
      </c>
      <c r="I346" s="21">
        <v>55.16</v>
      </c>
      <c r="J346" s="21">
        <v>24.18</v>
      </c>
      <c r="K346" s="21">
        <v>459.94</v>
      </c>
    </row>
    <row r="347" spans="1:11" ht="15.75" customHeight="1" x14ac:dyDescent="0.2">
      <c r="A347" s="6"/>
      <c r="B347" s="6"/>
      <c r="G347" s="20">
        <v>45376</v>
      </c>
      <c r="H347" s="22">
        <v>0.375</v>
      </c>
      <c r="I347" s="21">
        <v>52.54</v>
      </c>
      <c r="J347" s="21">
        <v>23.32</v>
      </c>
      <c r="K347" s="21">
        <v>446.8</v>
      </c>
    </row>
    <row r="348" spans="1:11" ht="15.75" customHeight="1" x14ac:dyDescent="0.2">
      <c r="A348" s="6"/>
      <c r="B348" s="6"/>
      <c r="G348" s="20">
        <v>45376</v>
      </c>
      <c r="H348" s="22">
        <v>0.41666666666666669</v>
      </c>
      <c r="I348" s="21">
        <v>51.18</v>
      </c>
      <c r="J348" s="21">
        <v>23.56</v>
      </c>
      <c r="K348" s="21">
        <v>439.63</v>
      </c>
    </row>
    <row r="349" spans="1:11" ht="15.75" customHeight="1" x14ac:dyDescent="0.2">
      <c r="A349" s="6"/>
      <c r="B349" s="6"/>
      <c r="G349" s="20">
        <v>45376</v>
      </c>
      <c r="H349" s="22">
        <v>0.45833333333333331</v>
      </c>
      <c r="I349" s="21">
        <v>49.65</v>
      </c>
      <c r="J349" s="21">
        <v>22.54</v>
      </c>
      <c r="K349" s="21">
        <v>435.91</v>
      </c>
    </row>
    <row r="350" spans="1:11" ht="15.75" customHeight="1" x14ac:dyDescent="0.2">
      <c r="A350" s="6"/>
      <c r="B350" s="6"/>
      <c r="G350" s="20">
        <v>45376</v>
      </c>
      <c r="H350" s="22">
        <v>0.5</v>
      </c>
      <c r="I350" s="21">
        <v>49</v>
      </c>
      <c r="J350" s="21">
        <v>23</v>
      </c>
      <c r="K350" s="21">
        <v>430.17</v>
      </c>
    </row>
    <row r="351" spans="1:11" ht="15.75" customHeight="1" x14ac:dyDescent="0.2">
      <c r="A351" s="6"/>
      <c r="B351" s="6"/>
      <c r="G351" s="20">
        <v>45376</v>
      </c>
      <c r="H351" s="22">
        <v>0.54166666666666663</v>
      </c>
      <c r="I351" s="21">
        <v>49.32</v>
      </c>
      <c r="J351" s="21">
        <v>23.13</v>
      </c>
      <c r="K351" s="21">
        <v>426.41</v>
      </c>
    </row>
    <row r="352" spans="1:11" ht="15.75" customHeight="1" x14ac:dyDescent="0.2">
      <c r="A352" s="6"/>
      <c r="B352" s="6"/>
      <c r="G352" s="20">
        <v>45376</v>
      </c>
      <c r="H352" s="22">
        <v>0.58333333333333337</v>
      </c>
      <c r="I352" s="21">
        <v>49.73</v>
      </c>
      <c r="J352" s="21">
        <v>23.61</v>
      </c>
      <c r="K352" s="21">
        <v>424.11</v>
      </c>
    </row>
    <row r="353" spans="1:11" ht="15.75" customHeight="1" x14ac:dyDescent="0.2">
      <c r="A353" s="6"/>
      <c r="B353" s="6"/>
      <c r="G353" s="20">
        <v>45376</v>
      </c>
      <c r="H353" s="22">
        <v>0.625</v>
      </c>
      <c r="I353" s="21">
        <v>50.51</v>
      </c>
      <c r="J353" s="21">
        <v>23.89</v>
      </c>
      <c r="K353" s="21">
        <v>422.08</v>
      </c>
    </row>
    <row r="354" spans="1:11" ht="15.75" customHeight="1" x14ac:dyDescent="0.2">
      <c r="A354" s="6"/>
      <c r="B354" s="6"/>
      <c r="G354" s="20">
        <v>45376</v>
      </c>
      <c r="H354" s="22">
        <v>0.66666666666666663</v>
      </c>
      <c r="I354" s="21">
        <v>51.61</v>
      </c>
      <c r="J354" s="21">
        <v>25.4</v>
      </c>
      <c r="K354" s="21">
        <v>428.15</v>
      </c>
    </row>
    <row r="355" spans="1:11" ht="15.75" customHeight="1" x14ac:dyDescent="0.2">
      <c r="A355" s="6"/>
      <c r="B355" s="6"/>
      <c r="G355" s="20">
        <v>45376</v>
      </c>
      <c r="H355" s="22">
        <v>0.70833333333333337</v>
      </c>
      <c r="I355" s="21">
        <v>52.49</v>
      </c>
      <c r="J355" s="21">
        <v>22.8</v>
      </c>
      <c r="K355" s="21">
        <v>452.27</v>
      </c>
    </row>
    <row r="356" spans="1:11" ht="15.75" customHeight="1" x14ac:dyDescent="0.2">
      <c r="A356" s="6"/>
      <c r="B356" s="6"/>
      <c r="G356" s="20">
        <v>45376</v>
      </c>
      <c r="H356" s="22">
        <v>0.75</v>
      </c>
      <c r="I356" s="21">
        <v>54.5</v>
      </c>
      <c r="J356" s="21">
        <v>17.899999999999999</v>
      </c>
      <c r="K356" s="21">
        <v>460.01</v>
      </c>
    </row>
    <row r="357" spans="1:11" ht="15.75" customHeight="1" x14ac:dyDescent="0.2">
      <c r="A357" s="6"/>
      <c r="B357" s="6"/>
      <c r="G357" s="20">
        <v>45376</v>
      </c>
      <c r="H357" s="22">
        <v>0.79166666666666663</v>
      </c>
      <c r="I357" s="21">
        <v>56.81</v>
      </c>
      <c r="J357" s="21">
        <v>15.96</v>
      </c>
      <c r="K357" s="21">
        <v>472.83</v>
      </c>
    </row>
    <row r="358" spans="1:11" ht="15.75" customHeight="1" x14ac:dyDescent="0.2">
      <c r="A358" s="6"/>
      <c r="B358" s="6"/>
      <c r="G358" s="20">
        <v>45376</v>
      </c>
      <c r="H358" s="22">
        <v>0.83333333333333337</v>
      </c>
      <c r="I358" s="21">
        <v>58.2</v>
      </c>
      <c r="J358" s="21">
        <v>14.6</v>
      </c>
      <c r="K358" s="21">
        <v>488.33</v>
      </c>
    </row>
    <row r="359" spans="1:11" ht="15.75" customHeight="1" x14ac:dyDescent="0.2">
      <c r="A359" s="6"/>
      <c r="B359" s="6"/>
      <c r="G359" s="20">
        <v>45376</v>
      </c>
      <c r="H359" s="22">
        <v>0.875</v>
      </c>
      <c r="I359" s="21">
        <v>58.91</v>
      </c>
      <c r="J359" s="21">
        <v>14.09</v>
      </c>
      <c r="K359" s="21">
        <v>501.13</v>
      </c>
    </row>
    <row r="360" spans="1:11" ht="15.75" customHeight="1" x14ac:dyDescent="0.2">
      <c r="A360" s="6"/>
      <c r="B360" s="6"/>
      <c r="G360" s="20">
        <v>45376</v>
      </c>
      <c r="H360" s="22">
        <v>0.91666666666666663</v>
      </c>
      <c r="I360" s="21">
        <v>59.75</v>
      </c>
      <c r="J360" s="21">
        <v>13.57</v>
      </c>
      <c r="K360" s="21">
        <v>507.98</v>
      </c>
    </row>
    <row r="361" spans="1:11" ht="15.75" customHeight="1" x14ac:dyDescent="0.2">
      <c r="A361" s="6"/>
      <c r="B361" s="6"/>
      <c r="G361" s="20">
        <v>45377</v>
      </c>
      <c r="H361" s="22">
        <v>0.95833333333333337</v>
      </c>
      <c r="I361" s="21">
        <v>60.36</v>
      </c>
      <c r="J361" s="21">
        <v>12.9</v>
      </c>
      <c r="K361" s="21">
        <v>513.44000000000005</v>
      </c>
    </row>
    <row r="362" spans="1:11" ht="15.75" customHeight="1" x14ac:dyDescent="0.2">
      <c r="A362" s="6"/>
      <c r="B362" s="6"/>
      <c r="G362" s="20">
        <v>45377</v>
      </c>
      <c r="H362" s="22">
        <v>0</v>
      </c>
      <c r="I362" s="21">
        <v>61.21</v>
      </c>
      <c r="J362" s="21">
        <v>12.48</v>
      </c>
      <c r="K362" s="21">
        <v>520.08000000000004</v>
      </c>
    </row>
    <row r="363" spans="1:11" ht="15.75" customHeight="1" x14ac:dyDescent="0.2">
      <c r="A363" s="6"/>
      <c r="B363" s="6"/>
      <c r="G363" s="20">
        <v>45377</v>
      </c>
      <c r="H363" s="22">
        <v>4.1666666666666664E-2</v>
      </c>
      <c r="I363" s="21">
        <v>61.98</v>
      </c>
      <c r="J363" s="21">
        <v>12.08</v>
      </c>
      <c r="K363" s="21">
        <v>522.07000000000005</v>
      </c>
    </row>
    <row r="364" spans="1:11" ht="15.75" customHeight="1" x14ac:dyDescent="0.2">
      <c r="A364" s="6"/>
      <c r="B364" s="6"/>
      <c r="G364" s="20">
        <v>45377</v>
      </c>
      <c r="H364" s="22">
        <v>8.3333333333333329E-2</v>
      </c>
      <c r="I364" s="21">
        <v>62.38</v>
      </c>
      <c r="J364" s="21">
        <v>11.63</v>
      </c>
      <c r="K364" s="21">
        <v>529.04999999999995</v>
      </c>
    </row>
    <row r="365" spans="1:11" ht="15.75" customHeight="1" x14ac:dyDescent="0.2">
      <c r="A365" s="6"/>
      <c r="B365" s="6"/>
      <c r="G365" s="20">
        <v>45377</v>
      </c>
      <c r="H365" s="22">
        <v>0.125</v>
      </c>
      <c r="I365" s="21">
        <v>62.69</v>
      </c>
      <c r="J365" s="21">
        <v>11.28</v>
      </c>
      <c r="K365" s="21">
        <v>535.26</v>
      </c>
    </row>
    <row r="366" spans="1:11" ht="15.75" customHeight="1" x14ac:dyDescent="0.2">
      <c r="A366" s="6"/>
      <c r="B366" s="6"/>
      <c r="G366" s="20">
        <v>45377</v>
      </c>
      <c r="H366" s="22">
        <v>0.16666666666666666</v>
      </c>
      <c r="I366" s="21">
        <v>63.18</v>
      </c>
      <c r="J366" s="21">
        <v>11.18</v>
      </c>
      <c r="K366" s="21">
        <v>541.76</v>
      </c>
    </row>
    <row r="367" spans="1:11" ht="15.75" customHeight="1" x14ac:dyDescent="0.2">
      <c r="A367" s="6"/>
      <c r="B367" s="6"/>
      <c r="G367" s="20">
        <v>45377</v>
      </c>
      <c r="H367" s="22">
        <v>0.20833333333333334</v>
      </c>
      <c r="I367" s="21">
        <v>63.6</v>
      </c>
      <c r="J367" s="21">
        <v>11.2</v>
      </c>
      <c r="K367" s="21">
        <v>547.58000000000004</v>
      </c>
    </row>
    <row r="368" spans="1:11" ht="15.75" customHeight="1" x14ac:dyDescent="0.2">
      <c r="A368" s="6"/>
      <c r="B368" s="6"/>
      <c r="G368" s="20">
        <v>45377</v>
      </c>
      <c r="H368" s="22">
        <v>0.25</v>
      </c>
      <c r="I368" s="21">
        <v>62.87</v>
      </c>
      <c r="J368" s="21">
        <v>13.66</v>
      </c>
      <c r="K368" s="21">
        <v>521.19000000000005</v>
      </c>
    </row>
    <row r="369" spans="1:11" ht="15.75" customHeight="1" x14ac:dyDescent="0.2">
      <c r="A369" s="6"/>
      <c r="B369" s="6"/>
      <c r="G369" s="20">
        <v>45377</v>
      </c>
      <c r="H369" s="22">
        <v>0.29166666666666669</v>
      </c>
      <c r="I369" s="21">
        <v>58.79</v>
      </c>
      <c r="J369" s="21">
        <v>21.97</v>
      </c>
      <c r="K369" s="21">
        <v>478.4</v>
      </c>
    </row>
    <row r="370" spans="1:11" ht="15.75" customHeight="1" x14ac:dyDescent="0.2">
      <c r="A370" s="6"/>
      <c r="B370" s="6"/>
      <c r="G370" s="20">
        <v>45377</v>
      </c>
      <c r="H370" s="22">
        <v>0.33333333333333331</v>
      </c>
      <c r="I370" s="21">
        <v>55.64</v>
      </c>
      <c r="J370" s="21">
        <v>24.85</v>
      </c>
      <c r="K370" s="21">
        <v>463.12</v>
      </c>
    </row>
    <row r="371" spans="1:11" ht="15.75" customHeight="1" x14ac:dyDescent="0.2">
      <c r="A371" s="6"/>
      <c r="B371" s="6"/>
      <c r="G371" s="20">
        <v>45377</v>
      </c>
      <c r="H371" s="22">
        <v>0.375</v>
      </c>
      <c r="I371" s="21">
        <v>52.68</v>
      </c>
      <c r="J371" s="21">
        <v>24.48</v>
      </c>
      <c r="K371" s="21">
        <v>449.72</v>
      </c>
    </row>
    <row r="372" spans="1:11" ht="15.75" customHeight="1" x14ac:dyDescent="0.2">
      <c r="A372" s="6"/>
      <c r="B372" s="6"/>
      <c r="G372" s="20">
        <v>45377</v>
      </c>
      <c r="H372" s="22">
        <v>0.41666666666666669</v>
      </c>
      <c r="I372" s="21">
        <v>48.26</v>
      </c>
      <c r="J372" s="21">
        <v>24.78</v>
      </c>
      <c r="K372" s="21">
        <v>439.17</v>
      </c>
    </row>
    <row r="373" spans="1:11" ht="15.75" customHeight="1" x14ac:dyDescent="0.2">
      <c r="A373" s="6"/>
      <c r="B373" s="6"/>
      <c r="G373" s="20">
        <v>45377</v>
      </c>
      <c r="H373" s="22">
        <v>0.45833333333333331</v>
      </c>
      <c r="I373" s="21">
        <v>48.31</v>
      </c>
      <c r="J373" s="21">
        <v>23.62</v>
      </c>
      <c r="K373" s="21">
        <v>432.82</v>
      </c>
    </row>
    <row r="374" spans="1:11" ht="15.75" customHeight="1" x14ac:dyDescent="0.2">
      <c r="A374" s="6"/>
      <c r="B374" s="6"/>
      <c r="G374" s="20">
        <v>45377</v>
      </c>
      <c r="H374" s="22">
        <v>0.5</v>
      </c>
      <c r="I374" s="21">
        <v>47.86</v>
      </c>
      <c r="J374" s="21">
        <v>23.35</v>
      </c>
      <c r="K374" s="21">
        <v>428.02</v>
      </c>
    </row>
    <row r="375" spans="1:11" ht="15.75" customHeight="1" x14ac:dyDescent="0.2">
      <c r="A375" s="6"/>
      <c r="B375" s="6"/>
      <c r="G375" s="20">
        <v>45377</v>
      </c>
      <c r="H375" s="22">
        <v>0.54166666666666663</v>
      </c>
      <c r="I375" s="21">
        <v>48.48</v>
      </c>
      <c r="J375" s="21">
        <v>22.91</v>
      </c>
      <c r="K375" s="21">
        <v>425.79</v>
      </c>
    </row>
    <row r="376" spans="1:11" ht="15.75" customHeight="1" x14ac:dyDescent="0.2">
      <c r="A376" s="6"/>
      <c r="B376" s="6"/>
      <c r="G376" s="20">
        <v>45377</v>
      </c>
      <c r="H376" s="22">
        <v>0.58333333333333337</v>
      </c>
      <c r="I376" s="21">
        <v>49.47</v>
      </c>
      <c r="J376" s="21">
        <v>22.7</v>
      </c>
      <c r="K376" s="21">
        <v>426.84</v>
      </c>
    </row>
    <row r="377" spans="1:11" ht="15.75" customHeight="1" x14ac:dyDescent="0.2">
      <c r="A377" s="6"/>
      <c r="B377" s="6"/>
      <c r="G377" s="20">
        <v>45377</v>
      </c>
      <c r="H377" s="22">
        <v>0.625</v>
      </c>
      <c r="I377" s="21">
        <v>50.22</v>
      </c>
      <c r="J377" s="21">
        <v>24.38</v>
      </c>
      <c r="K377" s="21">
        <v>429.1</v>
      </c>
    </row>
    <row r="378" spans="1:11" ht="15.75" customHeight="1" x14ac:dyDescent="0.2">
      <c r="A378" s="6"/>
      <c r="B378" s="6"/>
      <c r="G378" s="20">
        <v>45377</v>
      </c>
      <c r="H378" s="22">
        <v>0.66666666666666663</v>
      </c>
      <c r="I378" s="21">
        <v>50.91</v>
      </c>
      <c r="J378" s="21">
        <v>26.05</v>
      </c>
      <c r="K378" s="21">
        <v>430.74</v>
      </c>
    </row>
    <row r="379" spans="1:11" ht="15.75" customHeight="1" x14ac:dyDescent="0.2">
      <c r="A379" s="6"/>
      <c r="B379" s="6"/>
      <c r="G379" s="20">
        <v>45377</v>
      </c>
      <c r="H379" s="22">
        <v>0.70833333333333337</v>
      </c>
      <c r="I379" s="21">
        <v>52.28</v>
      </c>
      <c r="J379" s="21">
        <v>24.12</v>
      </c>
      <c r="K379" s="21">
        <v>449.28</v>
      </c>
    </row>
    <row r="380" spans="1:11" ht="15.75" customHeight="1" x14ac:dyDescent="0.2">
      <c r="A380" s="6"/>
      <c r="B380" s="6"/>
      <c r="G380" s="20">
        <v>45377</v>
      </c>
      <c r="H380" s="22">
        <v>0.75</v>
      </c>
      <c r="I380" s="21">
        <v>54.56</v>
      </c>
      <c r="J380" s="21">
        <v>21.01</v>
      </c>
      <c r="K380" s="21">
        <v>464.93</v>
      </c>
    </row>
    <row r="381" spans="1:11" ht="15.75" customHeight="1" x14ac:dyDescent="0.2">
      <c r="A381" s="6"/>
      <c r="B381" s="6"/>
      <c r="G381" s="20">
        <v>45377</v>
      </c>
      <c r="H381" s="22">
        <v>0.79166666666666663</v>
      </c>
      <c r="I381" s="21">
        <v>56.1</v>
      </c>
      <c r="J381" s="21">
        <v>19.73</v>
      </c>
      <c r="K381" s="21">
        <v>474.75</v>
      </c>
    </row>
    <row r="382" spans="1:11" ht="15.75" customHeight="1" x14ac:dyDescent="0.2">
      <c r="A382" s="6"/>
      <c r="B382" s="6"/>
      <c r="G382" s="20">
        <v>45377</v>
      </c>
      <c r="H382" s="22">
        <v>0.83333333333333337</v>
      </c>
      <c r="I382" s="21">
        <v>57.42</v>
      </c>
      <c r="J382" s="21">
        <v>19.100000000000001</v>
      </c>
      <c r="K382" s="21">
        <v>481.44</v>
      </c>
    </row>
    <row r="383" spans="1:11" ht="15.75" customHeight="1" x14ac:dyDescent="0.2">
      <c r="A383" s="6"/>
      <c r="B383" s="6"/>
      <c r="G383" s="20">
        <v>45377</v>
      </c>
      <c r="H383" s="22">
        <v>0.875</v>
      </c>
      <c r="I383" s="21">
        <v>58.7</v>
      </c>
      <c r="J383" s="21">
        <v>18.11</v>
      </c>
      <c r="K383" s="21">
        <v>484.09</v>
      </c>
    </row>
    <row r="384" spans="1:11" ht="15.75" customHeight="1" x14ac:dyDescent="0.2">
      <c r="A384" s="6"/>
      <c r="B384" s="6"/>
      <c r="G384" s="20">
        <v>45377</v>
      </c>
      <c r="H384" s="22">
        <v>0.91666666666666663</v>
      </c>
      <c r="I384" s="21">
        <v>59.47</v>
      </c>
      <c r="J384" s="21">
        <v>17.52</v>
      </c>
      <c r="K384" s="21">
        <v>483.7</v>
      </c>
    </row>
    <row r="385" spans="1:11" ht="15.75" customHeight="1" x14ac:dyDescent="0.2">
      <c r="A385" s="6"/>
      <c r="B385" s="6"/>
      <c r="G385" s="20">
        <v>45378</v>
      </c>
      <c r="H385" s="22">
        <v>0.95833333333333337</v>
      </c>
      <c r="I385" s="21">
        <v>60.26</v>
      </c>
      <c r="J385" s="21">
        <v>17.22</v>
      </c>
      <c r="K385" s="21">
        <v>481.89</v>
      </c>
    </row>
    <row r="386" spans="1:11" ht="15.75" customHeight="1" x14ac:dyDescent="0.2">
      <c r="A386" s="6"/>
      <c r="B386" s="6"/>
      <c r="G386" s="20">
        <v>45378</v>
      </c>
      <c r="H386" s="22">
        <v>0</v>
      </c>
      <c r="I386" s="21">
        <v>61.1</v>
      </c>
      <c r="J386" s="21">
        <v>16.649999999999999</v>
      </c>
      <c r="K386" s="21">
        <v>475.67</v>
      </c>
    </row>
    <row r="387" spans="1:11" ht="15.75" customHeight="1" x14ac:dyDescent="0.2">
      <c r="A387" s="6"/>
      <c r="B387" s="6"/>
      <c r="G387" s="20">
        <v>45378</v>
      </c>
      <c r="H387" s="22">
        <v>4.1666666666666664E-2</v>
      </c>
      <c r="I387" s="21">
        <v>61.24</v>
      </c>
      <c r="J387" s="21">
        <v>16.47</v>
      </c>
      <c r="K387" s="21">
        <v>475.95</v>
      </c>
    </row>
    <row r="388" spans="1:11" ht="15.75" customHeight="1" x14ac:dyDescent="0.2">
      <c r="A388" s="6"/>
      <c r="B388" s="6"/>
      <c r="G388" s="20">
        <v>45378</v>
      </c>
      <c r="H388" s="22">
        <v>8.3333333333333329E-2</v>
      </c>
      <c r="I388" s="21">
        <v>62.07</v>
      </c>
      <c r="J388" s="21">
        <v>16.16</v>
      </c>
      <c r="K388" s="21">
        <v>475.69</v>
      </c>
    </row>
    <row r="389" spans="1:11" ht="15.75" customHeight="1" x14ac:dyDescent="0.2">
      <c r="A389" s="6"/>
      <c r="B389" s="6"/>
      <c r="G389" s="20">
        <v>45378</v>
      </c>
      <c r="H389" s="22">
        <v>0.125</v>
      </c>
      <c r="I389" s="21">
        <v>62.36</v>
      </c>
      <c r="J389" s="21">
        <v>16.53</v>
      </c>
      <c r="K389" s="21">
        <v>475.85</v>
      </c>
    </row>
    <row r="390" spans="1:11" ht="15.75" customHeight="1" x14ac:dyDescent="0.2">
      <c r="A390" s="6"/>
      <c r="B390" s="6"/>
      <c r="G390" s="20">
        <v>45378</v>
      </c>
      <c r="H390" s="22">
        <v>0.16666666666666666</v>
      </c>
      <c r="I390" s="21">
        <v>61.96</v>
      </c>
      <c r="J390" s="21">
        <v>17.190000000000001</v>
      </c>
      <c r="K390" s="21">
        <v>478.25</v>
      </c>
    </row>
    <row r="391" spans="1:11" ht="15.75" customHeight="1" x14ac:dyDescent="0.2">
      <c r="A391" s="6"/>
      <c r="B391" s="6"/>
      <c r="G391" s="20">
        <v>45378</v>
      </c>
      <c r="H391" s="22">
        <v>0.20833333333333334</v>
      </c>
      <c r="I391" s="21">
        <v>62.8</v>
      </c>
      <c r="J391" s="21">
        <v>16.27</v>
      </c>
      <c r="K391" s="21">
        <v>480.35</v>
      </c>
    </row>
    <row r="392" spans="1:11" ht="15.75" customHeight="1" x14ac:dyDescent="0.2">
      <c r="A392" s="6"/>
      <c r="B392" s="6"/>
      <c r="G392" s="20">
        <v>45378</v>
      </c>
      <c r="H392" s="22">
        <v>0.25</v>
      </c>
      <c r="I392" s="21">
        <v>62.27</v>
      </c>
      <c r="J392" s="21">
        <v>17.45</v>
      </c>
      <c r="K392" s="21">
        <v>461.3</v>
      </c>
    </row>
    <row r="393" spans="1:11" ht="15.75" customHeight="1" x14ac:dyDescent="0.2">
      <c r="A393" s="6"/>
      <c r="B393" s="6"/>
      <c r="G393" s="20">
        <v>45378</v>
      </c>
      <c r="H393" s="22">
        <v>0.29166666666666669</v>
      </c>
      <c r="I393" s="21">
        <v>58.97</v>
      </c>
      <c r="J393" s="21">
        <v>24.53</v>
      </c>
      <c r="K393" s="21">
        <v>447.02</v>
      </c>
    </row>
    <row r="394" spans="1:11" ht="15.75" customHeight="1" x14ac:dyDescent="0.2">
      <c r="A394" s="6"/>
      <c r="B394" s="6"/>
      <c r="G394" s="20">
        <v>45378</v>
      </c>
      <c r="H394" s="22">
        <v>0.33333333333333331</v>
      </c>
      <c r="I394" s="21">
        <v>54.92</v>
      </c>
      <c r="J394" s="21">
        <v>25.43</v>
      </c>
      <c r="K394" s="21">
        <v>443.1</v>
      </c>
    </row>
    <row r="395" spans="1:11" ht="15.75" customHeight="1" x14ac:dyDescent="0.2">
      <c r="A395" s="6"/>
      <c r="B395" s="6"/>
      <c r="G395" s="20">
        <v>45378</v>
      </c>
      <c r="H395" s="22">
        <v>0.375</v>
      </c>
      <c r="I395" s="21">
        <v>52.17</v>
      </c>
      <c r="J395" s="21">
        <v>23.72</v>
      </c>
      <c r="K395" s="21">
        <v>447.27</v>
      </c>
    </row>
    <row r="396" spans="1:11" ht="15.75" customHeight="1" x14ac:dyDescent="0.2">
      <c r="A396" s="6"/>
      <c r="B396" s="6"/>
      <c r="G396" s="20">
        <v>45378</v>
      </c>
      <c r="H396" s="22">
        <v>0.41666666666666669</v>
      </c>
      <c r="I396" s="21">
        <v>49.17</v>
      </c>
      <c r="J396" s="21">
        <v>25.06</v>
      </c>
      <c r="K396" s="21">
        <v>441.42</v>
      </c>
    </row>
    <row r="397" spans="1:11" ht="15.75" customHeight="1" x14ac:dyDescent="0.2">
      <c r="A397" s="6"/>
      <c r="B397" s="6"/>
      <c r="G397" s="20">
        <v>45378</v>
      </c>
      <c r="H397" s="22">
        <v>0.45833333333333331</v>
      </c>
      <c r="I397" s="21">
        <v>46.84</v>
      </c>
      <c r="J397" s="21">
        <v>26.1</v>
      </c>
      <c r="K397" s="21">
        <v>431.15</v>
      </c>
    </row>
    <row r="398" spans="1:11" ht="15.75" customHeight="1" x14ac:dyDescent="0.2">
      <c r="A398" s="6"/>
      <c r="B398" s="6"/>
      <c r="G398" s="20">
        <v>45378</v>
      </c>
      <c r="H398" s="22">
        <v>0.5</v>
      </c>
      <c r="I398" s="21">
        <v>46.45</v>
      </c>
      <c r="J398" s="21">
        <v>25.29</v>
      </c>
      <c r="K398" s="21">
        <v>425.49</v>
      </c>
    </row>
    <row r="399" spans="1:11" ht="15.75" customHeight="1" x14ac:dyDescent="0.2">
      <c r="A399" s="6"/>
      <c r="B399" s="6"/>
      <c r="G399" s="20">
        <v>45378</v>
      </c>
      <c r="H399" s="22">
        <v>0.54166666666666663</v>
      </c>
      <c r="I399" s="21">
        <v>47.39</v>
      </c>
      <c r="J399" s="21">
        <v>25.03</v>
      </c>
      <c r="K399" s="21">
        <v>420</v>
      </c>
    </row>
    <row r="400" spans="1:11" ht="15.75" customHeight="1" x14ac:dyDescent="0.2">
      <c r="A400" s="6"/>
      <c r="B400" s="6"/>
      <c r="G400" s="20">
        <v>45378</v>
      </c>
      <c r="H400" s="22">
        <v>0.58333333333333337</v>
      </c>
      <c r="I400" s="21">
        <v>47.77</v>
      </c>
      <c r="J400" s="21">
        <v>24.09</v>
      </c>
      <c r="K400" s="21">
        <v>418.54</v>
      </c>
    </row>
    <row r="401" spans="1:11" ht="15.75" customHeight="1" x14ac:dyDescent="0.2">
      <c r="A401" s="6"/>
      <c r="B401" s="6"/>
      <c r="G401" s="20">
        <v>45378</v>
      </c>
      <c r="H401" s="22">
        <v>0.625</v>
      </c>
      <c r="I401" s="21">
        <v>49.02</v>
      </c>
      <c r="J401" s="21">
        <v>23.46</v>
      </c>
      <c r="K401" s="21">
        <v>418.78</v>
      </c>
    </row>
    <row r="402" spans="1:11" ht="15.75" customHeight="1" x14ac:dyDescent="0.2">
      <c r="A402" s="6"/>
      <c r="B402" s="6"/>
      <c r="G402" s="20">
        <v>45378</v>
      </c>
      <c r="H402" s="22">
        <v>0.66666666666666663</v>
      </c>
      <c r="I402" s="21">
        <v>50.83</v>
      </c>
      <c r="J402" s="21">
        <v>26.12</v>
      </c>
      <c r="K402" s="21">
        <v>418.16</v>
      </c>
    </row>
    <row r="403" spans="1:11" ht="15.75" customHeight="1" x14ac:dyDescent="0.2">
      <c r="A403" s="6"/>
      <c r="B403" s="6"/>
      <c r="G403" s="20">
        <v>45378</v>
      </c>
      <c r="H403" s="22">
        <v>0.70833333333333337</v>
      </c>
      <c r="I403" s="21">
        <v>51.67</v>
      </c>
      <c r="J403" s="21">
        <v>26.28</v>
      </c>
      <c r="K403" s="21">
        <v>421.04</v>
      </c>
    </row>
    <row r="404" spans="1:11" ht="15.75" customHeight="1" x14ac:dyDescent="0.2">
      <c r="A404" s="6"/>
      <c r="B404" s="6"/>
      <c r="G404" s="20">
        <v>45378</v>
      </c>
      <c r="H404" s="22">
        <v>0.75</v>
      </c>
      <c r="I404" s="21">
        <v>53.61</v>
      </c>
      <c r="J404" s="21">
        <v>22.23</v>
      </c>
      <c r="K404" s="21">
        <v>433.94</v>
      </c>
    </row>
    <row r="405" spans="1:11" ht="15.75" customHeight="1" x14ac:dyDescent="0.2">
      <c r="A405" s="6"/>
      <c r="B405" s="6"/>
      <c r="G405" s="20">
        <v>45378</v>
      </c>
      <c r="H405" s="22">
        <v>0.79166666666666663</v>
      </c>
      <c r="I405" s="21">
        <v>54.78</v>
      </c>
      <c r="J405" s="21">
        <v>20.7</v>
      </c>
      <c r="K405" s="21">
        <v>444.59</v>
      </c>
    </row>
    <row r="406" spans="1:11" ht="15.75" customHeight="1" x14ac:dyDescent="0.2">
      <c r="A406" s="6"/>
      <c r="B406" s="6"/>
      <c r="G406" s="20">
        <v>45378</v>
      </c>
      <c r="H406" s="22">
        <v>0.83333333333333337</v>
      </c>
      <c r="I406" s="21">
        <v>55.73</v>
      </c>
      <c r="J406" s="21">
        <v>19.46</v>
      </c>
      <c r="K406" s="21">
        <v>459.15</v>
      </c>
    </row>
    <row r="407" spans="1:11" ht="15.75" customHeight="1" x14ac:dyDescent="0.2">
      <c r="A407" s="6"/>
      <c r="B407" s="6"/>
      <c r="G407" s="20">
        <v>45378</v>
      </c>
      <c r="H407" s="22">
        <v>0.875</v>
      </c>
      <c r="I407" s="21">
        <v>57.43</v>
      </c>
      <c r="J407" s="21">
        <v>17.940000000000001</v>
      </c>
      <c r="K407" s="21">
        <v>466.82</v>
      </c>
    </row>
    <row r="408" spans="1:11" ht="15.75" customHeight="1" x14ac:dyDescent="0.2">
      <c r="A408" s="6"/>
      <c r="B408" s="6"/>
      <c r="G408" s="20">
        <v>45378</v>
      </c>
      <c r="H408" s="22">
        <v>0.91666666666666663</v>
      </c>
      <c r="I408" s="21">
        <v>58.51</v>
      </c>
      <c r="J408" s="21">
        <v>17.25</v>
      </c>
      <c r="K408" s="21">
        <v>477.66</v>
      </c>
    </row>
    <row r="409" spans="1:11" ht="15.75" customHeight="1" x14ac:dyDescent="0.2">
      <c r="A409" s="6"/>
      <c r="B409" s="6"/>
      <c r="G409" s="20">
        <v>45379</v>
      </c>
      <c r="H409" s="22">
        <v>0.95833333333333337</v>
      </c>
      <c r="I409" s="21">
        <v>59.6</v>
      </c>
      <c r="J409" s="21">
        <v>16.440000000000001</v>
      </c>
      <c r="K409" s="21">
        <v>495.48</v>
      </c>
    </row>
    <row r="410" spans="1:11" ht="15.75" customHeight="1" x14ac:dyDescent="0.2">
      <c r="A410" s="6"/>
      <c r="B410" s="6"/>
      <c r="G410" s="20">
        <v>45379</v>
      </c>
      <c r="H410" s="22">
        <v>0</v>
      </c>
      <c r="I410" s="21">
        <v>60.7</v>
      </c>
      <c r="J410" s="21">
        <v>15.64</v>
      </c>
      <c r="K410" s="21">
        <v>515.44000000000005</v>
      </c>
    </row>
    <row r="411" spans="1:11" ht="15.75" customHeight="1" x14ac:dyDescent="0.2">
      <c r="A411" s="6"/>
      <c r="B411" s="6"/>
      <c r="G411" s="20">
        <v>45379</v>
      </c>
      <c r="H411" s="22">
        <v>4.1666666666666664E-2</v>
      </c>
      <c r="I411" s="21">
        <v>61.3</v>
      </c>
      <c r="J411" s="21">
        <v>15.09</v>
      </c>
      <c r="K411" s="21">
        <v>533.66</v>
      </c>
    </row>
    <row r="412" spans="1:11" ht="15.75" customHeight="1" x14ac:dyDescent="0.2">
      <c r="A412" s="6"/>
      <c r="B412" s="6"/>
      <c r="G412" s="20">
        <v>45379</v>
      </c>
      <c r="H412" s="22">
        <v>8.3333333333333329E-2</v>
      </c>
      <c r="I412" s="21">
        <v>62.07</v>
      </c>
      <c r="J412" s="21">
        <v>14.59</v>
      </c>
      <c r="K412" s="21">
        <v>546.91999999999996</v>
      </c>
    </row>
    <row r="413" spans="1:11" ht="15.75" customHeight="1" x14ac:dyDescent="0.2">
      <c r="A413" s="6"/>
      <c r="B413" s="6"/>
      <c r="G413" s="20">
        <v>45379</v>
      </c>
      <c r="H413" s="22">
        <v>0.125</v>
      </c>
      <c r="I413" s="21">
        <v>62.39</v>
      </c>
      <c r="J413" s="21">
        <v>14.35</v>
      </c>
      <c r="K413" s="21">
        <v>554.16</v>
      </c>
    </row>
    <row r="414" spans="1:11" ht="15.75" customHeight="1" x14ac:dyDescent="0.2">
      <c r="A414" s="6"/>
      <c r="B414" s="6"/>
      <c r="G414" s="20">
        <v>45379</v>
      </c>
      <c r="H414" s="22">
        <v>0.16666666666666666</v>
      </c>
      <c r="I414" s="21">
        <v>62.78</v>
      </c>
      <c r="J414" s="21">
        <v>14.22</v>
      </c>
      <c r="K414" s="21">
        <v>554.70000000000005</v>
      </c>
    </row>
    <row r="415" spans="1:11" ht="15.75" customHeight="1" x14ac:dyDescent="0.2">
      <c r="A415" s="6"/>
      <c r="B415" s="6"/>
      <c r="G415" s="20">
        <v>45379</v>
      </c>
      <c r="H415" s="22">
        <v>0.20833333333333334</v>
      </c>
      <c r="I415" s="21">
        <v>62.95</v>
      </c>
      <c r="J415" s="21">
        <v>14.18</v>
      </c>
      <c r="K415" s="21">
        <v>553.76</v>
      </c>
    </row>
    <row r="416" spans="1:11" ht="15.75" customHeight="1" x14ac:dyDescent="0.2">
      <c r="A416" s="6"/>
      <c r="B416" s="6"/>
      <c r="G416" s="20">
        <v>45379</v>
      </c>
      <c r="H416" s="22">
        <v>0.25</v>
      </c>
      <c r="I416" s="21">
        <v>62.3</v>
      </c>
      <c r="J416" s="21">
        <v>16.850000000000001</v>
      </c>
      <c r="K416" s="21">
        <v>514.07000000000005</v>
      </c>
    </row>
    <row r="417" spans="1:11" ht="15.75" customHeight="1" x14ac:dyDescent="0.2">
      <c r="A417" s="6"/>
      <c r="B417" s="6"/>
      <c r="G417" s="20">
        <v>45379</v>
      </c>
      <c r="H417" s="22">
        <v>0.29166666666666669</v>
      </c>
      <c r="I417" s="21">
        <v>59.11</v>
      </c>
      <c r="J417" s="21">
        <v>24.09</v>
      </c>
      <c r="K417" s="21">
        <v>483.56</v>
      </c>
    </row>
    <row r="418" spans="1:11" ht="15.75" customHeight="1" x14ac:dyDescent="0.2">
      <c r="A418" s="6"/>
      <c r="B418" s="6"/>
      <c r="G418" s="20">
        <v>45379</v>
      </c>
      <c r="H418" s="22">
        <v>0.33333333333333331</v>
      </c>
      <c r="I418" s="21">
        <v>56.19</v>
      </c>
      <c r="J418" s="21">
        <v>25.74</v>
      </c>
      <c r="K418" s="21">
        <v>460.8</v>
      </c>
    </row>
    <row r="419" spans="1:11" ht="15.75" customHeight="1" x14ac:dyDescent="0.2">
      <c r="A419" s="6"/>
      <c r="B419" s="6"/>
      <c r="G419" s="20">
        <v>45379</v>
      </c>
      <c r="H419" s="22">
        <v>0.375</v>
      </c>
      <c r="I419" s="21">
        <v>53.69</v>
      </c>
      <c r="J419" s="21">
        <v>25.52</v>
      </c>
      <c r="K419" s="21">
        <v>437.94</v>
      </c>
    </row>
    <row r="420" spans="1:11" ht="15.75" customHeight="1" x14ac:dyDescent="0.2">
      <c r="A420" s="6"/>
      <c r="B420" s="6"/>
      <c r="G420" s="20">
        <v>45379</v>
      </c>
      <c r="H420" s="22">
        <v>0.41666666666666669</v>
      </c>
      <c r="I420" s="21">
        <v>51.56</v>
      </c>
      <c r="J420" s="21">
        <v>23.93</v>
      </c>
      <c r="K420" s="21">
        <v>425.26</v>
      </c>
    </row>
    <row r="421" spans="1:11" ht="15.75" customHeight="1" x14ac:dyDescent="0.2">
      <c r="A421" s="6"/>
      <c r="B421" s="6"/>
      <c r="G421" s="20">
        <v>45379</v>
      </c>
      <c r="H421" s="22">
        <v>0.45833333333333331</v>
      </c>
      <c r="I421" s="21">
        <v>51.17</v>
      </c>
      <c r="J421" s="21">
        <v>24.33</v>
      </c>
      <c r="K421" s="21">
        <v>417.24</v>
      </c>
    </row>
    <row r="422" spans="1:11" ht="15.75" customHeight="1" x14ac:dyDescent="0.2">
      <c r="A422" s="6"/>
      <c r="B422" s="6"/>
      <c r="G422" s="20">
        <v>45379</v>
      </c>
      <c r="H422" s="22">
        <v>0.5</v>
      </c>
      <c r="I422" s="21">
        <v>49.88</v>
      </c>
      <c r="J422" s="21">
        <v>24.53</v>
      </c>
      <c r="K422" s="21">
        <v>431.97</v>
      </c>
    </row>
    <row r="423" spans="1:11" ht="15.75" customHeight="1" x14ac:dyDescent="0.2">
      <c r="A423" s="6"/>
      <c r="B423" s="6"/>
      <c r="G423" s="20">
        <v>45379</v>
      </c>
      <c r="H423" s="22">
        <v>0.54166666666666663</v>
      </c>
      <c r="I423" s="21">
        <v>50.16</v>
      </c>
      <c r="J423" s="21">
        <v>24.56</v>
      </c>
      <c r="K423" s="21">
        <v>436.11</v>
      </c>
    </row>
    <row r="424" spans="1:11" ht="15.75" customHeight="1" x14ac:dyDescent="0.2">
      <c r="A424" s="6"/>
      <c r="B424" s="6"/>
      <c r="G424" s="20">
        <v>45379</v>
      </c>
      <c r="H424" s="22">
        <v>0.58333333333333337</v>
      </c>
      <c r="I424" s="21">
        <v>50.84</v>
      </c>
      <c r="J424" s="21">
        <v>24.77</v>
      </c>
      <c r="K424" s="21">
        <v>426.76</v>
      </c>
    </row>
    <row r="425" spans="1:11" ht="15.75" customHeight="1" x14ac:dyDescent="0.2">
      <c r="A425" s="6"/>
      <c r="B425" s="6"/>
      <c r="G425" s="20">
        <v>45379</v>
      </c>
      <c r="H425" s="22">
        <v>0.625</v>
      </c>
      <c r="I425" s="21">
        <v>50.7</v>
      </c>
      <c r="J425" s="21">
        <v>27.19</v>
      </c>
      <c r="K425" s="21">
        <v>422.59</v>
      </c>
    </row>
    <row r="426" spans="1:11" ht="15.75" customHeight="1" x14ac:dyDescent="0.2">
      <c r="A426" s="6"/>
      <c r="B426" s="6"/>
      <c r="G426" s="20">
        <v>45379</v>
      </c>
      <c r="H426" s="22">
        <v>0.66666666666666663</v>
      </c>
      <c r="I426" s="21">
        <v>50.6</v>
      </c>
      <c r="J426" s="21">
        <v>27.25</v>
      </c>
      <c r="K426" s="21">
        <v>423.71</v>
      </c>
    </row>
    <row r="427" spans="1:11" ht="15.75" customHeight="1" x14ac:dyDescent="0.2">
      <c r="A427" s="6"/>
      <c r="B427" s="6"/>
      <c r="G427" s="20">
        <v>45379</v>
      </c>
      <c r="H427" s="22">
        <v>0.70833333333333337</v>
      </c>
      <c r="I427" s="21">
        <v>50.84</v>
      </c>
      <c r="J427" s="21">
        <v>26.47</v>
      </c>
      <c r="K427" s="21">
        <v>427.49</v>
      </c>
    </row>
    <row r="428" spans="1:11" ht="15.75" customHeight="1" x14ac:dyDescent="0.2">
      <c r="A428" s="6"/>
      <c r="B428" s="6"/>
      <c r="G428" s="20">
        <v>45379</v>
      </c>
      <c r="H428" s="22">
        <v>0.75</v>
      </c>
      <c r="I428" s="21">
        <v>52.77</v>
      </c>
      <c r="J428" s="21">
        <v>23.89</v>
      </c>
      <c r="K428" s="21">
        <v>439.3</v>
      </c>
    </row>
    <row r="429" spans="1:11" ht="15.75" customHeight="1" x14ac:dyDescent="0.2">
      <c r="A429" s="6"/>
      <c r="B429" s="6"/>
      <c r="G429" s="20">
        <v>45379</v>
      </c>
      <c r="H429" s="22">
        <v>0.79166666666666663</v>
      </c>
      <c r="I429" s="21">
        <v>54.08</v>
      </c>
      <c r="J429" s="21">
        <v>23.05</v>
      </c>
      <c r="K429" s="21">
        <v>449.05</v>
      </c>
    </row>
    <row r="430" spans="1:11" ht="15.75" customHeight="1" x14ac:dyDescent="0.2">
      <c r="A430" s="6"/>
      <c r="B430" s="6"/>
      <c r="G430" s="20">
        <v>45379</v>
      </c>
      <c r="H430" s="22">
        <v>0.83333333333333337</v>
      </c>
      <c r="I430" s="21">
        <v>54.67</v>
      </c>
      <c r="J430" s="21">
        <v>23.02</v>
      </c>
      <c r="K430" s="21">
        <v>450.15</v>
      </c>
    </row>
    <row r="431" spans="1:11" ht="15.75" customHeight="1" x14ac:dyDescent="0.2">
      <c r="A431" s="6"/>
      <c r="B431" s="6"/>
      <c r="G431" s="20">
        <v>45379</v>
      </c>
      <c r="H431" s="22">
        <v>0.875</v>
      </c>
      <c r="I431" s="21">
        <v>54.49</v>
      </c>
      <c r="J431" s="21">
        <v>21.88</v>
      </c>
      <c r="K431" s="21">
        <v>447.48</v>
      </c>
    </row>
    <row r="432" spans="1:11" ht="15.75" customHeight="1" x14ac:dyDescent="0.2">
      <c r="A432" s="6"/>
      <c r="B432" s="6"/>
      <c r="G432" s="20">
        <v>45379</v>
      </c>
      <c r="H432" s="22">
        <v>0.91666666666666663</v>
      </c>
      <c r="I432" s="21">
        <v>55.79</v>
      </c>
      <c r="J432" s="21">
        <v>21.25</v>
      </c>
      <c r="K432" s="21">
        <v>442.87</v>
      </c>
    </row>
    <row r="433" spans="1:11" ht="15.75" customHeight="1" x14ac:dyDescent="0.2">
      <c r="A433" s="6"/>
      <c r="B433" s="6"/>
      <c r="G433" s="20">
        <v>45380</v>
      </c>
      <c r="H433" s="22">
        <v>0.95833333333333337</v>
      </c>
      <c r="I433" s="21">
        <v>56.72</v>
      </c>
      <c r="J433" s="21">
        <v>20.86</v>
      </c>
      <c r="K433" s="21">
        <v>442.23</v>
      </c>
    </row>
    <row r="434" spans="1:11" ht="15.75" customHeight="1" x14ac:dyDescent="0.2">
      <c r="A434" s="6"/>
      <c r="B434" s="6"/>
      <c r="G434" s="20">
        <v>45380</v>
      </c>
      <c r="H434" s="22">
        <v>0</v>
      </c>
      <c r="I434" s="21">
        <v>57.53</v>
      </c>
      <c r="J434" s="21">
        <v>20.350000000000001</v>
      </c>
      <c r="K434" s="21">
        <v>443.33</v>
      </c>
    </row>
    <row r="435" spans="1:11" ht="15.75" customHeight="1" x14ac:dyDescent="0.2">
      <c r="A435" s="6"/>
      <c r="B435" s="6"/>
      <c r="G435" s="20">
        <v>45380</v>
      </c>
      <c r="H435" s="22">
        <v>4.1666666666666664E-2</v>
      </c>
      <c r="I435" s="21">
        <v>57.98</v>
      </c>
      <c r="J435" s="21">
        <v>19.29</v>
      </c>
      <c r="K435" s="21">
        <v>453.27</v>
      </c>
    </row>
    <row r="436" spans="1:11" ht="15.75" customHeight="1" x14ac:dyDescent="0.2">
      <c r="A436" s="6"/>
      <c r="B436" s="6"/>
      <c r="G436" s="20">
        <v>45380</v>
      </c>
      <c r="H436" s="22">
        <v>8.3333333333333329E-2</v>
      </c>
      <c r="I436" s="21">
        <v>58.94</v>
      </c>
      <c r="J436" s="21">
        <v>19.27</v>
      </c>
      <c r="K436" s="21">
        <v>462.68</v>
      </c>
    </row>
    <row r="437" spans="1:11" ht="15.75" customHeight="1" x14ac:dyDescent="0.2">
      <c r="A437" s="6"/>
      <c r="B437" s="6"/>
      <c r="G437" s="20">
        <v>45380</v>
      </c>
      <c r="H437" s="22">
        <v>0.125</v>
      </c>
      <c r="I437" s="21">
        <v>59.7</v>
      </c>
      <c r="J437" s="21">
        <v>18.53</v>
      </c>
      <c r="K437" s="21">
        <v>467.84</v>
      </c>
    </row>
    <row r="438" spans="1:11" ht="15.75" customHeight="1" x14ac:dyDescent="0.2">
      <c r="A438" s="6"/>
      <c r="B438" s="6"/>
      <c r="G438" s="20">
        <v>45380</v>
      </c>
      <c r="H438" s="22">
        <v>0.16666666666666666</v>
      </c>
      <c r="I438" s="21">
        <v>60.3</v>
      </c>
      <c r="J438" s="21">
        <v>18.920000000000002</v>
      </c>
      <c r="K438" s="21">
        <v>471.28</v>
      </c>
    </row>
    <row r="439" spans="1:11" ht="15.75" customHeight="1" x14ac:dyDescent="0.2">
      <c r="A439" s="6"/>
      <c r="B439" s="6"/>
      <c r="G439" s="20">
        <v>45380</v>
      </c>
      <c r="H439" s="22">
        <v>0.20833333333333334</v>
      </c>
      <c r="I439" s="21">
        <v>60.98</v>
      </c>
      <c r="J439" s="21">
        <v>18.5</v>
      </c>
      <c r="K439" s="21">
        <v>469.44</v>
      </c>
    </row>
    <row r="440" spans="1:11" ht="15.75" customHeight="1" x14ac:dyDescent="0.2">
      <c r="A440" s="6"/>
      <c r="B440" s="6"/>
      <c r="G440" s="20">
        <v>45380</v>
      </c>
      <c r="H440" s="22">
        <v>0.25</v>
      </c>
      <c r="I440" s="21">
        <v>61.49</v>
      </c>
      <c r="J440" s="21">
        <v>17.93</v>
      </c>
      <c r="K440" s="21">
        <v>462.26</v>
      </c>
    </row>
    <row r="441" spans="1:11" ht="15.75" customHeight="1" x14ac:dyDescent="0.2">
      <c r="A441" s="6"/>
      <c r="B441" s="6"/>
      <c r="G441" s="20">
        <v>45380</v>
      </c>
      <c r="H441" s="22">
        <v>0.29166666666666669</v>
      </c>
      <c r="I441" s="21">
        <v>60.6</v>
      </c>
      <c r="J441" s="21">
        <v>21.67</v>
      </c>
      <c r="K441" s="21">
        <v>453.47</v>
      </c>
    </row>
    <row r="442" spans="1:11" ht="15.75" customHeight="1" x14ac:dyDescent="0.2">
      <c r="A442" s="6"/>
      <c r="B442" s="6"/>
      <c r="G442" s="20">
        <v>45380</v>
      </c>
      <c r="H442" s="22">
        <v>0.33333333333333331</v>
      </c>
      <c r="I442" s="21">
        <v>57.69</v>
      </c>
      <c r="J442" s="21">
        <v>23.35</v>
      </c>
      <c r="K442" s="21">
        <v>446.42</v>
      </c>
    </row>
    <row r="443" spans="1:11" ht="15.75" customHeight="1" x14ac:dyDescent="0.2">
      <c r="A443" s="6"/>
      <c r="B443" s="6"/>
      <c r="G443" s="20">
        <v>45380</v>
      </c>
      <c r="H443" s="22">
        <v>0.375</v>
      </c>
      <c r="I443" s="21">
        <v>54.59</v>
      </c>
      <c r="J443" s="21">
        <v>25.14</v>
      </c>
      <c r="K443" s="21">
        <v>432.45</v>
      </c>
    </row>
    <row r="444" spans="1:11" ht="15.75" customHeight="1" x14ac:dyDescent="0.2">
      <c r="A444" s="6"/>
      <c r="B444" s="6"/>
      <c r="G444" s="20">
        <v>45380</v>
      </c>
      <c r="H444" s="22">
        <v>0.41666666666666669</v>
      </c>
      <c r="I444" s="21">
        <v>51.96</v>
      </c>
      <c r="J444" s="21">
        <v>26.18</v>
      </c>
      <c r="K444" s="21">
        <v>421.82</v>
      </c>
    </row>
    <row r="445" spans="1:11" ht="15.75" customHeight="1" x14ac:dyDescent="0.2">
      <c r="A445" s="6"/>
      <c r="B445" s="6"/>
      <c r="G445" s="20">
        <v>45380</v>
      </c>
      <c r="H445" s="22">
        <v>0.45833333333333331</v>
      </c>
      <c r="I445" s="21">
        <v>51.03</v>
      </c>
      <c r="J445" s="21">
        <v>26.46</v>
      </c>
      <c r="K445" s="21">
        <v>414.47</v>
      </c>
    </row>
    <row r="446" spans="1:11" ht="15.75" customHeight="1" x14ac:dyDescent="0.2">
      <c r="A446" s="6"/>
      <c r="B446" s="6"/>
      <c r="G446" s="20">
        <v>45380</v>
      </c>
      <c r="H446" s="22">
        <v>0.5</v>
      </c>
      <c r="I446" s="21">
        <v>50.69</v>
      </c>
      <c r="J446" s="21">
        <v>26.59</v>
      </c>
      <c r="K446" s="21">
        <v>408.38</v>
      </c>
    </row>
    <row r="447" spans="1:11" ht="15.75" customHeight="1" x14ac:dyDescent="0.2">
      <c r="A447" s="6"/>
      <c r="B447" s="6"/>
      <c r="G447" s="20">
        <v>45380</v>
      </c>
      <c r="H447" s="22">
        <v>0.54166666666666663</v>
      </c>
      <c r="I447" s="21">
        <v>51.55</v>
      </c>
      <c r="J447" s="21">
        <v>25.41</v>
      </c>
      <c r="K447" s="21">
        <v>405.61</v>
      </c>
    </row>
    <row r="448" spans="1:11" ht="15.75" customHeight="1" x14ac:dyDescent="0.2">
      <c r="A448" s="6"/>
      <c r="B448" s="6"/>
      <c r="G448" s="20">
        <v>45380</v>
      </c>
      <c r="H448" s="22">
        <v>0.58333333333333337</v>
      </c>
      <c r="I448" s="21">
        <v>52.45</v>
      </c>
      <c r="J448" s="21">
        <v>25.43</v>
      </c>
      <c r="K448" s="21">
        <v>403.97</v>
      </c>
    </row>
    <row r="449" spans="1:11" ht="15.75" customHeight="1" x14ac:dyDescent="0.2">
      <c r="A449" s="6"/>
      <c r="B449" s="6"/>
      <c r="G449" s="20">
        <v>45380</v>
      </c>
      <c r="H449" s="22">
        <v>0.625</v>
      </c>
      <c r="I449" s="21">
        <v>54.03</v>
      </c>
      <c r="J449" s="21">
        <v>24.56</v>
      </c>
      <c r="K449" s="21">
        <v>414.32</v>
      </c>
    </row>
    <row r="450" spans="1:11" ht="15.75" customHeight="1" x14ac:dyDescent="0.2">
      <c r="A450" s="6"/>
      <c r="B450" s="6"/>
      <c r="G450" s="20">
        <v>45380</v>
      </c>
      <c r="H450" s="22">
        <v>0.66666666666666663</v>
      </c>
      <c r="I450" s="21">
        <v>56.11</v>
      </c>
      <c r="J450" s="21">
        <v>24.37</v>
      </c>
      <c r="K450" s="21">
        <v>420.47</v>
      </c>
    </row>
    <row r="451" spans="1:11" ht="15.75" customHeight="1" x14ac:dyDescent="0.2">
      <c r="A451" s="6"/>
      <c r="B451" s="6"/>
      <c r="G451" s="20">
        <v>45380</v>
      </c>
      <c r="H451" s="22">
        <v>0.70833333333333337</v>
      </c>
      <c r="I451" s="21">
        <v>57.5</v>
      </c>
      <c r="J451" s="21">
        <v>24.61</v>
      </c>
      <c r="K451" s="21">
        <v>438.46</v>
      </c>
    </row>
    <row r="452" spans="1:11" ht="15.75" customHeight="1" x14ac:dyDescent="0.2">
      <c r="A452" s="6"/>
      <c r="B452" s="6"/>
      <c r="G452" s="20">
        <v>45380</v>
      </c>
      <c r="H452" s="22">
        <v>0.75</v>
      </c>
      <c r="I452" s="21">
        <v>59.22</v>
      </c>
      <c r="J452" s="21">
        <v>21.14</v>
      </c>
      <c r="K452" s="21">
        <v>452.78</v>
      </c>
    </row>
    <row r="453" spans="1:11" ht="15.75" customHeight="1" x14ac:dyDescent="0.2">
      <c r="A453" s="6"/>
      <c r="B453" s="6"/>
      <c r="G453" s="20">
        <v>45380</v>
      </c>
      <c r="H453" s="22">
        <v>0.79166666666666663</v>
      </c>
      <c r="I453" s="21">
        <v>60.29</v>
      </c>
      <c r="J453" s="21">
        <v>19.77</v>
      </c>
      <c r="K453" s="21">
        <v>462.64</v>
      </c>
    </row>
    <row r="454" spans="1:11" ht="15.75" customHeight="1" x14ac:dyDescent="0.2">
      <c r="A454" s="6"/>
      <c r="B454" s="6"/>
      <c r="G454" s="20">
        <v>45380</v>
      </c>
      <c r="H454" s="22">
        <v>0.83333333333333337</v>
      </c>
      <c r="I454" s="21">
        <v>61.3</v>
      </c>
      <c r="J454" s="21">
        <v>19.059999999999999</v>
      </c>
      <c r="K454" s="21">
        <v>470.22</v>
      </c>
    </row>
    <row r="455" spans="1:11" ht="15.75" customHeight="1" x14ac:dyDescent="0.2">
      <c r="A455" s="6"/>
      <c r="B455" s="6"/>
      <c r="G455" s="20">
        <v>45380</v>
      </c>
      <c r="H455" s="22">
        <v>0.875</v>
      </c>
      <c r="I455" s="21">
        <v>62.5</v>
      </c>
      <c r="J455" s="21">
        <v>18.350000000000001</v>
      </c>
      <c r="K455" s="21">
        <v>472.65</v>
      </c>
    </row>
    <row r="456" spans="1:11" ht="15.75" customHeight="1" x14ac:dyDescent="0.2">
      <c r="A456" s="6"/>
      <c r="B456" s="6"/>
      <c r="G456" s="20">
        <v>45380</v>
      </c>
      <c r="H456" s="22">
        <v>0.91666666666666663</v>
      </c>
      <c r="I456" s="21">
        <v>63.06</v>
      </c>
      <c r="J456" s="21">
        <v>17.829999999999998</v>
      </c>
      <c r="K456" s="21">
        <v>474.45</v>
      </c>
    </row>
    <row r="457" spans="1:11" ht="15.75" customHeight="1" x14ac:dyDescent="0.2">
      <c r="A457" s="6"/>
      <c r="B457" s="6"/>
      <c r="G457" s="20">
        <v>45381</v>
      </c>
      <c r="H457" s="22">
        <v>0.95833333333333337</v>
      </c>
      <c r="I457" s="21">
        <v>63.52</v>
      </c>
      <c r="J457" s="21">
        <v>17.7</v>
      </c>
      <c r="K457" s="21">
        <v>477.45</v>
      </c>
    </row>
    <row r="458" spans="1:11" ht="15.75" customHeight="1" x14ac:dyDescent="0.2">
      <c r="A458" s="6"/>
      <c r="B458" s="6"/>
      <c r="G458" s="20">
        <v>45381</v>
      </c>
      <c r="H458" s="22">
        <v>0</v>
      </c>
      <c r="I458" s="21">
        <v>63.99</v>
      </c>
      <c r="J458" s="21">
        <v>17.329999999999998</v>
      </c>
      <c r="K458" s="21">
        <v>481.46</v>
      </c>
    </row>
    <row r="459" spans="1:11" ht="15.75" customHeight="1" x14ac:dyDescent="0.2">
      <c r="A459" s="6"/>
      <c r="B459" s="6"/>
      <c r="G459" s="20">
        <v>45381</v>
      </c>
      <c r="H459" s="22">
        <v>4.1666666666666664E-2</v>
      </c>
      <c r="I459" s="21">
        <v>64.489999999999995</v>
      </c>
      <c r="J459" s="21">
        <v>17.920000000000002</v>
      </c>
      <c r="K459" s="21">
        <v>478.81</v>
      </c>
    </row>
    <row r="460" spans="1:11" ht="15.75" customHeight="1" x14ac:dyDescent="0.2">
      <c r="A460" s="6"/>
      <c r="B460" s="6"/>
      <c r="G460" s="20">
        <v>45381</v>
      </c>
      <c r="H460" s="22">
        <v>8.3333333333333329E-2</v>
      </c>
      <c r="I460" s="21">
        <v>64.13</v>
      </c>
      <c r="J460" s="21">
        <v>18.02</v>
      </c>
      <c r="K460" s="21">
        <v>483.36</v>
      </c>
    </row>
    <row r="461" spans="1:11" ht="15.75" customHeight="1" x14ac:dyDescent="0.2">
      <c r="A461" s="6"/>
      <c r="B461" s="6"/>
      <c r="G461" s="20">
        <v>45381</v>
      </c>
      <c r="H461" s="22">
        <v>0.125</v>
      </c>
      <c r="I461" s="21">
        <v>65.069999999999993</v>
      </c>
      <c r="J461" s="21">
        <v>18.14</v>
      </c>
      <c r="K461" s="21">
        <v>485.67</v>
      </c>
    </row>
    <row r="462" spans="1:11" ht="15.75" customHeight="1" x14ac:dyDescent="0.2">
      <c r="A462" s="6"/>
      <c r="B462" s="6"/>
      <c r="G462" s="20">
        <v>45381</v>
      </c>
      <c r="H462" s="22">
        <v>0.16666666666666666</v>
      </c>
      <c r="I462" s="21">
        <v>65.45</v>
      </c>
      <c r="J462" s="21">
        <v>18</v>
      </c>
      <c r="K462" s="21">
        <v>483.84</v>
      </c>
    </row>
    <row r="463" spans="1:11" ht="15.75" customHeight="1" x14ac:dyDescent="0.2">
      <c r="A463" s="6"/>
      <c r="B463" s="6"/>
      <c r="G463" s="20">
        <v>45381</v>
      </c>
      <c r="H463" s="22">
        <v>0.20833333333333334</v>
      </c>
      <c r="I463" s="21">
        <v>65.209999999999994</v>
      </c>
      <c r="J463" s="21">
        <v>17.82</v>
      </c>
      <c r="K463" s="21">
        <v>486.69</v>
      </c>
    </row>
    <row r="464" spans="1:11" ht="15.75" customHeight="1" x14ac:dyDescent="0.2">
      <c r="A464" s="6"/>
      <c r="B464" s="6"/>
      <c r="G464" s="20">
        <v>45381</v>
      </c>
      <c r="H464" s="22">
        <v>0.25</v>
      </c>
      <c r="I464" s="21">
        <v>65.59</v>
      </c>
      <c r="J464" s="21">
        <v>19.170000000000002</v>
      </c>
      <c r="K464" s="21">
        <v>465.16</v>
      </c>
    </row>
    <row r="465" spans="1:11" ht="15.75" customHeight="1" x14ac:dyDescent="0.2">
      <c r="A465" s="6"/>
      <c r="B465" s="6"/>
      <c r="G465" s="20">
        <v>45381</v>
      </c>
      <c r="H465" s="22">
        <v>0.29166666666666669</v>
      </c>
      <c r="I465" s="21">
        <v>62.79</v>
      </c>
      <c r="J465" s="21">
        <v>24.21</v>
      </c>
      <c r="K465" s="21">
        <v>455.58</v>
      </c>
    </row>
    <row r="466" spans="1:11" ht="15.75" customHeight="1" x14ac:dyDescent="0.2">
      <c r="A466" s="6"/>
      <c r="B466" s="6"/>
      <c r="G466" s="20">
        <v>45381</v>
      </c>
      <c r="H466" s="22">
        <v>0.33333333333333331</v>
      </c>
      <c r="I466" s="21">
        <v>59.88</v>
      </c>
      <c r="J466" s="21">
        <v>23.18</v>
      </c>
      <c r="K466" s="21">
        <v>452.55</v>
      </c>
    </row>
    <row r="467" spans="1:11" ht="15.75" customHeight="1" x14ac:dyDescent="0.2">
      <c r="A467" s="6"/>
      <c r="B467" s="6"/>
      <c r="G467" s="20">
        <v>45381</v>
      </c>
      <c r="H467" s="22">
        <v>0.375</v>
      </c>
      <c r="I467" s="21">
        <v>57.14</v>
      </c>
      <c r="J467" s="21">
        <v>24.34</v>
      </c>
      <c r="K467" s="21">
        <v>444.79</v>
      </c>
    </row>
    <row r="468" spans="1:11" ht="15.75" customHeight="1" x14ac:dyDescent="0.2">
      <c r="A468" s="6"/>
      <c r="B468" s="6"/>
      <c r="G468" s="20">
        <v>45381</v>
      </c>
      <c r="H468" s="22">
        <v>0.41666666666666669</v>
      </c>
      <c r="I468" s="21">
        <v>54.83</v>
      </c>
      <c r="J468" s="21">
        <v>25.98</v>
      </c>
      <c r="K468" s="21">
        <v>436.82</v>
      </c>
    </row>
    <row r="469" spans="1:11" ht="15.75" customHeight="1" x14ac:dyDescent="0.2">
      <c r="A469" s="6"/>
      <c r="B469" s="6"/>
      <c r="G469" s="20">
        <v>45381</v>
      </c>
      <c r="H469" s="22">
        <v>0.45833333333333331</v>
      </c>
      <c r="I469" s="21">
        <v>52.44</v>
      </c>
      <c r="J469" s="21">
        <v>26.74</v>
      </c>
      <c r="K469" s="21">
        <v>426.46</v>
      </c>
    </row>
    <row r="470" spans="1:11" ht="15.75" customHeight="1" x14ac:dyDescent="0.2">
      <c r="A470" s="6"/>
      <c r="B470" s="6"/>
      <c r="G470" s="20">
        <v>45381</v>
      </c>
      <c r="H470" s="22">
        <v>0.5</v>
      </c>
      <c r="I470" s="21">
        <v>51.62</v>
      </c>
      <c r="J470" s="21">
        <v>26.97</v>
      </c>
      <c r="K470" s="21">
        <v>420.26</v>
      </c>
    </row>
    <row r="471" spans="1:11" ht="15.75" customHeight="1" x14ac:dyDescent="0.2">
      <c r="A471" s="6"/>
      <c r="B471" s="6"/>
      <c r="G471" s="20">
        <v>45381</v>
      </c>
      <c r="H471" s="22">
        <v>0.54166666666666663</v>
      </c>
      <c r="I471" s="21">
        <v>51.98</v>
      </c>
      <c r="J471" s="21">
        <v>26.36</v>
      </c>
      <c r="K471" s="21">
        <v>421.87</v>
      </c>
    </row>
    <row r="472" spans="1:11" ht="15.75" customHeight="1" x14ac:dyDescent="0.2">
      <c r="A472" s="6"/>
      <c r="B472" s="6"/>
      <c r="G472" s="20">
        <v>45381</v>
      </c>
      <c r="H472" s="22">
        <v>0.58333333333333337</v>
      </c>
      <c r="I472" s="21">
        <v>53.07</v>
      </c>
      <c r="J472" s="21">
        <v>25.79</v>
      </c>
      <c r="K472" s="21">
        <v>419.13</v>
      </c>
    </row>
    <row r="473" spans="1:11" ht="15.75" customHeight="1" x14ac:dyDescent="0.2">
      <c r="A473" s="6"/>
      <c r="B473" s="6"/>
      <c r="G473" s="20">
        <v>45381</v>
      </c>
      <c r="H473" s="22">
        <v>0.625</v>
      </c>
      <c r="I473" s="21">
        <v>55.16</v>
      </c>
      <c r="J473" s="21">
        <v>24.72</v>
      </c>
      <c r="K473" s="21">
        <v>424.24</v>
      </c>
    </row>
    <row r="474" spans="1:11" ht="15.75" customHeight="1" x14ac:dyDescent="0.2">
      <c r="A474" s="6"/>
      <c r="B474" s="6"/>
      <c r="G474" s="20">
        <v>45381</v>
      </c>
      <c r="H474" s="22">
        <v>0.66666666666666663</v>
      </c>
      <c r="I474" s="21">
        <v>57.49</v>
      </c>
      <c r="J474" s="21">
        <v>24.14</v>
      </c>
      <c r="K474" s="21">
        <v>428.27</v>
      </c>
    </row>
    <row r="475" spans="1:11" ht="15.75" customHeight="1" x14ac:dyDescent="0.2">
      <c r="A475" s="6"/>
      <c r="B475" s="6"/>
      <c r="G475" s="20">
        <v>45381</v>
      </c>
      <c r="H475" s="22">
        <v>0.70833333333333337</v>
      </c>
      <c r="I475" s="21">
        <v>58.72</v>
      </c>
      <c r="J475" s="21">
        <v>25.84</v>
      </c>
      <c r="K475" s="21">
        <v>434.48</v>
      </c>
    </row>
    <row r="476" spans="1:11" ht="15.75" customHeight="1" x14ac:dyDescent="0.2">
      <c r="A476" s="6"/>
      <c r="B476" s="6"/>
      <c r="G476" s="20">
        <v>45381</v>
      </c>
      <c r="H476" s="22">
        <v>0.75</v>
      </c>
      <c r="I476" s="21">
        <v>60.58</v>
      </c>
      <c r="J476" s="21">
        <v>22.62</v>
      </c>
      <c r="K476" s="21">
        <v>447.18</v>
      </c>
    </row>
    <row r="477" spans="1:11" ht="15.75" customHeight="1" x14ac:dyDescent="0.2">
      <c r="A477" s="6"/>
      <c r="B477" s="6"/>
      <c r="G477" s="20">
        <v>45381</v>
      </c>
      <c r="H477" s="22">
        <v>0.79166666666666663</v>
      </c>
      <c r="I477" s="21">
        <v>62.13</v>
      </c>
      <c r="J477" s="21">
        <v>21.1</v>
      </c>
      <c r="K477" s="21">
        <v>458.7</v>
      </c>
    </row>
    <row r="478" spans="1:11" ht="15.75" customHeight="1" x14ac:dyDescent="0.2">
      <c r="A478" s="6"/>
      <c r="B478" s="6"/>
      <c r="G478" s="20">
        <v>45381</v>
      </c>
      <c r="H478" s="22">
        <v>0.83333333333333337</v>
      </c>
      <c r="I478" s="21">
        <v>63.27</v>
      </c>
      <c r="J478" s="21">
        <v>20.079999999999998</v>
      </c>
      <c r="K478" s="21">
        <v>466.14</v>
      </c>
    </row>
    <row r="479" spans="1:11" ht="15.75" customHeight="1" x14ac:dyDescent="0.2">
      <c r="A479" s="6"/>
      <c r="B479" s="6"/>
      <c r="G479" s="20">
        <v>45381</v>
      </c>
      <c r="H479" s="22">
        <v>0.875</v>
      </c>
      <c r="I479" s="21">
        <v>64.23</v>
      </c>
      <c r="J479" s="21">
        <v>19.399999999999999</v>
      </c>
      <c r="K479" s="21">
        <v>474.37</v>
      </c>
    </row>
    <row r="480" spans="1:11" ht="15.75" customHeight="1" x14ac:dyDescent="0.2">
      <c r="A480" s="6"/>
      <c r="B480" s="6"/>
      <c r="G480" s="20">
        <v>45381</v>
      </c>
      <c r="H480" s="22">
        <v>0.91666666666666663</v>
      </c>
      <c r="I480" s="21">
        <v>65.040000000000006</v>
      </c>
      <c r="J480" s="21">
        <v>18.8</v>
      </c>
      <c r="K480" s="21">
        <v>480.74</v>
      </c>
    </row>
    <row r="481" spans="1:11" ht="15.75" customHeight="1" x14ac:dyDescent="0.2">
      <c r="A481" s="6"/>
      <c r="B481" s="6"/>
      <c r="G481" s="20">
        <v>45382</v>
      </c>
      <c r="H481" s="22">
        <v>0.95833333333333337</v>
      </c>
      <c r="I481" s="21">
        <v>65.650000000000006</v>
      </c>
      <c r="J481" s="21">
        <v>18.46</v>
      </c>
      <c r="K481" s="21">
        <v>485.06</v>
      </c>
    </row>
    <row r="482" spans="1:11" ht="15.75" customHeight="1" x14ac:dyDescent="0.2">
      <c r="A482" s="6"/>
      <c r="B482" s="6"/>
      <c r="G482" s="20">
        <v>45382</v>
      </c>
      <c r="H482" s="22">
        <v>0</v>
      </c>
      <c r="I482" s="21">
        <v>66.13</v>
      </c>
      <c r="J482" s="21">
        <v>18.34</v>
      </c>
      <c r="K482" s="21">
        <v>489.5</v>
      </c>
    </row>
    <row r="483" spans="1:11" ht="15.75" customHeight="1" x14ac:dyDescent="0.2">
      <c r="A483" s="6"/>
      <c r="B483" s="6"/>
      <c r="G483" s="20">
        <v>45382</v>
      </c>
      <c r="H483" s="22">
        <v>4.1666666666666664E-2</v>
      </c>
      <c r="I483" s="21">
        <v>66.63</v>
      </c>
      <c r="J483" s="21">
        <v>17.989999999999998</v>
      </c>
      <c r="K483" s="21">
        <v>491.07</v>
      </c>
    </row>
    <row r="484" spans="1:11" ht="15.75" customHeight="1" x14ac:dyDescent="0.2">
      <c r="A484" s="6"/>
      <c r="B484" s="6"/>
      <c r="G484" s="20">
        <v>45382</v>
      </c>
      <c r="H484" s="22">
        <v>8.3333333333333329E-2</v>
      </c>
      <c r="I484" s="21">
        <v>66.73</v>
      </c>
      <c r="J484" s="21">
        <v>17.93</v>
      </c>
      <c r="K484" s="21">
        <v>493.72</v>
      </c>
    </row>
    <row r="485" spans="1:11" ht="15.75" customHeight="1" x14ac:dyDescent="0.2">
      <c r="A485" s="6"/>
      <c r="B485" s="6"/>
      <c r="G485" s="20">
        <v>45382</v>
      </c>
      <c r="H485" s="22">
        <v>0.125</v>
      </c>
      <c r="I485" s="21">
        <v>67.11</v>
      </c>
      <c r="J485" s="21">
        <v>17.690000000000001</v>
      </c>
      <c r="K485" s="21">
        <v>501</v>
      </c>
    </row>
    <row r="486" spans="1:11" ht="15.75" customHeight="1" x14ac:dyDescent="0.2">
      <c r="A486" s="6"/>
      <c r="B486" s="6"/>
      <c r="G486" s="20">
        <v>45382</v>
      </c>
      <c r="H486" s="22">
        <v>0.16666666666666666</v>
      </c>
      <c r="I486" s="21">
        <v>67.400000000000006</v>
      </c>
      <c r="J486" s="21">
        <v>17.63</v>
      </c>
      <c r="K486" s="21">
        <v>504.5</v>
      </c>
    </row>
    <row r="487" spans="1:11" ht="15.75" customHeight="1" x14ac:dyDescent="0.2">
      <c r="A487" s="6"/>
      <c r="B487" s="6"/>
      <c r="G487" s="20">
        <v>45382</v>
      </c>
      <c r="H487" s="22">
        <v>0.20833333333333334</v>
      </c>
      <c r="I487" s="21">
        <v>67.650000000000006</v>
      </c>
      <c r="J487" s="21">
        <v>17.48</v>
      </c>
      <c r="K487" s="21">
        <v>503.08</v>
      </c>
    </row>
    <row r="488" spans="1:11" ht="15.75" customHeight="1" x14ac:dyDescent="0.2">
      <c r="A488" s="6"/>
      <c r="B488" s="6"/>
      <c r="G488" s="20">
        <v>45382</v>
      </c>
      <c r="H488" s="22">
        <v>0.25</v>
      </c>
      <c r="I488" s="21">
        <v>66.89</v>
      </c>
      <c r="J488" s="21">
        <v>20.13</v>
      </c>
      <c r="K488" s="21">
        <v>484.76</v>
      </c>
    </row>
    <row r="489" spans="1:11" ht="15.75" customHeight="1" x14ac:dyDescent="0.2">
      <c r="A489" s="6"/>
      <c r="B489" s="6"/>
      <c r="G489" s="20">
        <v>45382</v>
      </c>
      <c r="H489" s="22">
        <v>0.29166666666666669</v>
      </c>
      <c r="I489" s="21">
        <v>63.97</v>
      </c>
      <c r="J489" s="21">
        <v>24.53</v>
      </c>
      <c r="K489" s="21">
        <v>472.59</v>
      </c>
    </row>
    <row r="490" spans="1:11" ht="15.75" customHeight="1" x14ac:dyDescent="0.2">
      <c r="A490" s="6"/>
      <c r="B490" s="6"/>
      <c r="G490" s="20">
        <v>45382</v>
      </c>
      <c r="H490" s="22">
        <v>0.33333333333333331</v>
      </c>
      <c r="I490" s="21">
        <v>61.12</v>
      </c>
      <c r="J490" s="21">
        <v>23.97</v>
      </c>
      <c r="K490" s="21">
        <v>462.08</v>
      </c>
    </row>
    <row r="491" spans="1:11" ht="15.75" customHeight="1" x14ac:dyDescent="0.2">
      <c r="A491" s="6"/>
      <c r="B491" s="6"/>
      <c r="G491" s="20">
        <v>45382</v>
      </c>
      <c r="H491" s="22">
        <v>0.375</v>
      </c>
      <c r="I491" s="21">
        <v>57.25</v>
      </c>
      <c r="J491" s="21">
        <v>26.3</v>
      </c>
      <c r="K491" s="21">
        <v>450.46</v>
      </c>
    </row>
    <row r="492" spans="1:11" ht="15.75" customHeight="1" x14ac:dyDescent="0.2">
      <c r="A492" s="6"/>
      <c r="B492" s="6"/>
      <c r="G492" s="20">
        <v>45382</v>
      </c>
      <c r="H492" s="22">
        <v>0.41666666666666669</v>
      </c>
      <c r="I492" s="21">
        <v>54.25</v>
      </c>
      <c r="J492" s="21">
        <v>27.45</v>
      </c>
      <c r="K492" s="21">
        <v>440.89</v>
      </c>
    </row>
    <row r="493" spans="1:11" ht="15.75" customHeight="1" x14ac:dyDescent="0.2">
      <c r="A493" s="6"/>
      <c r="B493" s="6"/>
      <c r="G493" s="20">
        <v>45382</v>
      </c>
      <c r="H493" s="22">
        <v>0.45833333333333331</v>
      </c>
      <c r="I493" s="21">
        <v>52.03</v>
      </c>
      <c r="J493" s="21">
        <v>28.31</v>
      </c>
      <c r="K493" s="21">
        <v>437.94</v>
      </c>
    </row>
    <row r="494" spans="1:11" ht="15.75" customHeight="1" x14ac:dyDescent="0.2">
      <c r="A494" s="6"/>
      <c r="B494" s="6"/>
      <c r="G494" s="20">
        <v>45382</v>
      </c>
      <c r="H494" s="22">
        <v>0.5</v>
      </c>
      <c r="I494" s="21">
        <v>50.95</v>
      </c>
      <c r="J494" s="21">
        <v>28.45</v>
      </c>
      <c r="K494" s="21">
        <v>426.13</v>
      </c>
    </row>
    <row r="495" spans="1:11" ht="15.75" customHeight="1" x14ac:dyDescent="0.2">
      <c r="A495" s="6"/>
      <c r="B495" s="6"/>
      <c r="G495" s="20">
        <v>45382</v>
      </c>
      <c r="H495" s="22">
        <v>0.54166666666666663</v>
      </c>
      <c r="I495" s="21">
        <v>51.04</v>
      </c>
      <c r="J495" s="21">
        <v>28.12</v>
      </c>
      <c r="K495" s="21">
        <v>422.98</v>
      </c>
    </row>
    <row r="496" spans="1:11" ht="15.75" customHeight="1" x14ac:dyDescent="0.2">
      <c r="A496" s="6"/>
      <c r="B496" s="6"/>
      <c r="G496" s="20">
        <v>45382</v>
      </c>
      <c r="H496" s="22">
        <v>0.58333333333333337</v>
      </c>
      <c r="I496" s="21">
        <v>52.71</v>
      </c>
      <c r="J496" s="21">
        <v>26.99</v>
      </c>
      <c r="K496" s="21">
        <v>426.11</v>
      </c>
    </row>
    <row r="497" spans="1:11" ht="15.75" customHeight="1" x14ac:dyDescent="0.2">
      <c r="A497" s="6"/>
      <c r="B497" s="6"/>
      <c r="G497" s="20">
        <v>45382</v>
      </c>
      <c r="H497" s="22">
        <v>0.625</v>
      </c>
      <c r="I497" s="21">
        <v>54.83</v>
      </c>
      <c r="J497" s="21">
        <v>26.04</v>
      </c>
      <c r="K497" s="21">
        <v>428.36</v>
      </c>
    </row>
    <row r="498" spans="1:11" ht="15.75" customHeight="1" x14ac:dyDescent="0.2">
      <c r="A498" s="6"/>
      <c r="B498" s="6"/>
      <c r="G498" s="20">
        <v>45382</v>
      </c>
      <c r="H498" s="22">
        <v>0.66666666666666663</v>
      </c>
      <c r="I498" s="21">
        <v>56.15</v>
      </c>
      <c r="J498" s="21">
        <v>25.37</v>
      </c>
      <c r="K498" s="21">
        <v>426.74</v>
      </c>
    </row>
    <row r="499" spans="1:11" ht="15.75" customHeight="1" x14ac:dyDescent="0.2">
      <c r="A499" s="6"/>
      <c r="B499" s="6"/>
      <c r="G499" s="20">
        <v>45382</v>
      </c>
      <c r="H499" s="22">
        <v>0.70833333333333337</v>
      </c>
      <c r="I499" s="21">
        <v>53.23</v>
      </c>
      <c r="J499" s="21">
        <v>27.89</v>
      </c>
      <c r="K499" s="21">
        <v>424.15</v>
      </c>
    </row>
    <row r="500" spans="1:11" ht="15.75" customHeight="1" x14ac:dyDescent="0.2">
      <c r="A500" s="6"/>
      <c r="B500" s="6"/>
      <c r="G500" s="20">
        <v>45382</v>
      </c>
      <c r="H500" s="22">
        <v>0.75</v>
      </c>
      <c r="I500" s="21">
        <v>53.13</v>
      </c>
      <c r="J500" s="21">
        <v>25.95</v>
      </c>
      <c r="K500" s="21">
        <v>435.22</v>
      </c>
    </row>
    <row r="501" spans="1:11" ht="15.75" customHeight="1" x14ac:dyDescent="0.2">
      <c r="A501" s="6"/>
      <c r="B501" s="6"/>
      <c r="G501" s="20">
        <v>45382</v>
      </c>
      <c r="H501" s="22">
        <v>0.79166666666666663</v>
      </c>
      <c r="I501" s="21">
        <v>55.18</v>
      </c>
      <c r="J501" s="21">
        <v>22.75</v>
      </c>
      <c r="K501" s="21">
        <v>449.46</v>
      </c>
    </row>
    <row r="502" spans="1:11" ht="15.75" customHeight="1" x14ac:dyDescent="0.2">
      <c r="A502" s="6"/>
      <c r="B502" s="6"/>
      <c r="G502" s="20">
        <v>45382</v>
      </c>
      <c r="H502" s="22">
        <v>0.83333333333333337</v>
      </c>
      <c r="I502" s="21">
        <v>58.3</v>
      </c>
      <c r="J502" s="21">
        <v>20.84</v>
      </c>
      <c r="K502" s="21">
        <v>459.28</v>
      </c>
    </row>
    <row r="503" spans="1:11" ht="15.75" customHeight="1" x14ac:dyDescent="0.2">
      <c r="A503" s="6"/>
      <c r="B503" s="6"/>
      <c r="G503" s="20">
        <v>45382</v>
      </c>
      <c r="H503" s="22">
        <v>0.875</v>
      </c>
      <c r="I503" s="21">
        <v>59.88</v>
      </c>
      <c r="J503" s="21">
        <v>19.96</v>
      </c>
      <c r="K503" s="21">
        <v>464.61</v>
      </c>
    </row>
    <row r="504" spans="1:11" ht="15.75" customHeight="1" x14ac:dyDescent="0.2">
      <c r="A504" s="6"/>
      <c r="B504" s="6"/>
      <c r="G504" s="20">
        <v>45382</v>
      </c>
      <c r="H504" s="22">
        <v>0.91666666666666663</v>
      </c>
      <c r="I504" s="21">
        <v>61.06</v>
      </c>
      <c r="J504" s="21">
        <v>19.600000000000001</v>
      </c>
      <c r="K504" s="21">
        <v>474.02</v>
      </c>
    </row>
    <row r="505" spans="1:11" ht="15.75" customHeight="1" x14ac:dyDescent="0.2">
      <c r="A505" s="6"/>
      <c r="B505" s="6"/>
      <c r="G505" s="20">
        <v>45383</v>
      </c>
      <c r="H505" s="22">
        <v>0.95833333333333337</v>
      </c>
      <c r="I505" s="21">
        <v>62.13</v>
      </c>
      <c r="J505" s="21">
        <v>19.13</v>
      </c>
      <c r="K505" s="21">
        <v>480.15</v>
      </c>
    </row>
    <row r="506" spans="1:11" ht="15.75" customHeight="1" x14ac:dyDescent="0.2">
      <c r="A506" s="6"/>
      <c r="B506" s="6"/>
      <c r="G506" s="20">
        <v>45383</v>
      </c>
      <c r="H506" s="22">
        <v>0</v>
      </c>
      <c r="I506" s="21">
        <v>63.08</v>
      </c>
      <c r="J506" s="21">
        <v>18.8</v>
      </c>
      <c r="K506" s="21">
        <v>484.06</v>
      </c>
    </row>
    <row r="507" spans="1:11" ht="15.75" customHeight="1" x14ac:dyDescent="0.2">
      <c r="A507" s="6"/>
      <c r="B507" s="6"/>
      <c r="G507" s="20">
        <v>45383</v>
      </c>
      <c r="H507" s="22">
        <v>4.1666666666666664E-2</v>
      </c>
      <c r="I507" s="21">
        <v>63.89</v>
      </c>
      <c r="J507" s="21">
        <v>18.62</v>
      </c>
      <c r="K507" s="21">
        <v>480.34</v>
      </c>
    </row>
    <row r="508" spans="1:11" ht="15.75" customHeight="1" x14ac:dyDescent="0.2">
      <c r="A508" s="6"/>
      <c r="B508" s="6"/>
      <c r="G508" s="20">
        <v>45383</v>
      </c>
      <c r="H508" s="22">
        <v>8.3333333333333329E-2</v>
      </c>
      <c r="I508" s="21">
        <v>64.61</v>
      </c>
      <c r="J508" s="21">
        <v>18.25</v>
      </c>
      <c r="K508" s="21">
        <v>479.6</v>
      </c>
    </row>
    <row r="509" spans="1:11" ht="15.75" customHeight="1" x14ac:dyDescent="0.2">
      <c r="A509" s="6"/>
      <c r="B509" s="6"/>
      <c r="G509" s="20">
        <v>45383</v>
      </c>
      <c r="H509" s="22">
        <v>0.125</v>
      </c>
      <c r="I509" s="21">
        <v>65.16</v>
      </c>
      <c r="J509" s="21">
        <v>17.89</v>
      </c>
      <c r="K509" s="21">
        <v>486.02</v>
      </c>
    </row>
    <row r="510" spans="1:11" ht="15.75" customHeight="1" x14ac:dyDescent="0.2">
      <c r="A510" s="6"/>
      <c r="B510" s="6"/>
      <c r="G510" s="20">
        <v>45383</v>
      </c>
      <c r="H510" s="22">
        <v>0.16666666666666666</v>
      </c>
      <c r="I510" s="21">
        <v>65.8</v>
      </c>
      <c r="J510" s="21">
        <v>17.47</v>
      </c>
      <c r="K510" s="21">
        <v>491.06</v>
      </c>
    </row>
    <row r="511" spans="1:11" ht="15.75" customHeight="1" x14ac:dyDescent="0.2">
      <c r="A511" s="6"/>
      <c r="B511" s="6"/>
      <c r="G511" s="20">
        <v>45383</v>
      </c>
      <c r="H511" s="22">
        <v>0.20833333333333334</v>
      </c>
      <c r="I511" s="21">
        <v>65.62</v>
      </c>
      <c r="J511" s="21">
        <v>17.86</v>
      </c>
      <c r="K511" s="21">
        <v>489.11</v>
      </c>
    </row>
    <row r="512" spans="1:11" ht="15.75" customHeight="1" x14ac:dyDescent="0.2">
      <c r="A512" s="6"/>
      <c r="B512" s="6"/>
      <c r="G512" s="20">
        <v>45383</v>
      </c>
      <c r="H512" s="22">
        <v>0.25</v>
      </c>
      <c r="I512" s="21">
        <v>64.59</v>
      </c>
      <c r="J512" s="21">
        <v>19.78</v>
      </c>
      <c r="K512" s="21">
        <v>473.94</v>
      </c>
    </row>
    <row r="513" spans="1:11" ht="15.75" customHeight="1" x14ac:dyDescent="0.2">
      <c r="A513" s="6"/>
      <c r="B513" s="6"/>
      <c r="G513" s="20">
        <v>45383</v>
      </c>
      <c r="H513" s="22">
        <v>0.29166666666666669</v>
      </c>
      <c r="I513" s="21">
        <v>63.53</v>
      </c>
      <c r="J513" s="21">
        <v>23.88</v>
      </c>
      <c r="K513" s="21">
        <v>461.21</v>
      </c>
    </row>
    <row r="514" spans="1:11" ht="15.75" customHeight="1" x14ac:dyDescent="0.2">
      <c r="A514" s="6"/>
      <c r="B514" s="6"/>
      <c r="G514" s="20">
        <v>45383</v>
      </c>
      <c r="H514" s="22">
        <v>0.33333333333333331</v>
      </c>
      <c r="I514" s="21">
        <v>60.09</v>
      </c>
      <c r="J514" s="21">
        <v>24.13</v>
      </c>
      <c r="K514" s="21">
        <v>454.07</v>
      </c>
    </row>
    <row r="515" spans="1:11" ht="15.75" customHeight="1" x14ac:dyDescent="0.2">
      <c r="A515" s="6"/>
      <c r="B515" s="6"/>
      <c r="G515" s="20">
        <v>45383</v>
      </c>
      <c r="H515" s="22">
        <v>0.375</v>
      </c>
      <c r="I515" s="21">
        <v>56.03</v>
      </c>
      <c r="J515" s="21">
        <v>26.31</v>
      </c>
      <c r="K515" s="21">
        <v>439.54</v>
      </c>
    </row>
    <row r="516" spans="1:11" ht="15.75" customHeight="1" x14ac:dyDescent="0.2">
      <c r="A516" s="6"/>
      <c r="B516" s="6"/>
      <c r="G516" s="20">
        <v>45383</v>
      </c>
      <c r="H516" s="22">
        <v>0.41666666666666669</v>
      </c>
      <c r="I516" s="21">
        <v>53.56</v>
      </c>
      <c r="J516" s="21">
        <v>27.25</v>
      </c>
      <c r="K516" s="21">
        <v>428.75</v>
      </c>
    </row>
    <row r="517" spans="1:11" ht="15.75" customHeight="1" x14ac:dyDescent="0.2">
      <c r="A517" s="6"/>
      <c r="B517" s="6"/>
      <c r="G517" s="20">
        <v>45383</v>
      </c>
      <c r="H517" s="22">
        <v>0.45833333333333331</v>
      </c>
      <c r="I517" s="21">
        <v>51.37</v>
      </c>
      <c r="J517" s="21">
        <v>27.3</v>
      </c>
      <c r="K517" s="21">
        <v>421.67</v>
      </c>
    </row>
    <row r="518" spans="1:11" ht="15.75" customHeight="1" x14ac:dyDescent="0.2">
      <c r="A518" s="6"/>
      <c r="B518" s="6"/>
      <c r="G518" s="20">
        <v>45383</v>
      </c>
      <c r="H518" s="22">
        <v>0.5</v>
      </c>
      <c r="I518" s="21">
        <v>51</v>
      </c>
      <c r="J518" s="21">
        <v>26.91</v>
      </c>
      <c r="K518" s="21">
        <v>414.95</v>
      </c>
    </row>
    <row r="519" spans="1:11" ht="15.75" customHeight="1" x14ac:dyDescent="0.2">
      <c r="A519" s="6"/>
      <c r="B519" s="6"/>
      <c r="G519" s="20">
        <v>45383</v>
      </c>
      <c r="H519" s="22">
        <v>0.54166666666666663</v>
      </c>
      <c r="I519" s="21">
        <v>51.2</v>
      </c>
      <c r="J519" s="21">
        <v>26.82</v>
      </c>
      <c r="K519" s="21">
        <v>412.55</v>
      </c>
    </row>
    <row r="520" spans="1:11" ht="15.75" customHeight="1" x14ac:dyDescent="0.2">
      <c r="A520" s="6"/>
      <c r="B520" s="6"/>
      <c r="G520" s="20">
        <v>45383</v>
      </c>
      <c r="H520" s="22">
        <v>0.58333333333333337</v>
      </c>
      <c r="I520" s="21">
        <v>52.18</v>
      </c>
      <c r="J520" s="21">
        <v>26.42</v>
      </c>
      <c r="K520" s="21">
        <v>410.96</v>
      </c>
    </row>
    <row r="521" spans="1:11" ht="15.75" customHeight="1" x14ac:dyDescent="0.2">
      <c r="A521" s="6"/>
      <c r="B521" s="6"/>
      <c r="G521" s="20">
        <v>45383</v>
      </c>
      <c r="H521" s="22">
        <v>0.625</v>
      </c>
      <c r="I521" s="21">
        <v>53</v>
      </c>
      <c r="J521" s="21">
        <v>25.47</v>
      </c>
      <c r="K521" s="21">
        <v>407.45</v>
      </c>
    </row>
    <row r="522" spans="1:11" ht="15.75" customHeight="1" x14ac:dyDescent="0.2">
      <c r="A522" s="6"/>
      <c r="B522" s="6"/>
      <c r="G522" s="20">
        <v>45383</v>
      </c>
      <c r="H522" s="22">
        <v>0.66666666666666663</v>
      </c>
      <c r="I522" s="21">
        <v>49.25</v>
      </c>
      <c r="J522" s="21">
        <v>30.8</v>
      </c>
      <c r="K522" s="21">
        <v>402.52</v>
      </c>
    </row>
    <row r="523" spans="1:11" ht="15.75" customHeight="1" x14ac:dyDescent="0.2">
      <c r="A523" s="6"/>
      <c r="B523" s="6"/>
      <c r="G523" s="20">
        <v>45383</v>
      </c>
      <c r="H523" s="22">
        <v>0.70833333333333337</v>
      </c>
      <c r="I523" s="21">
        <v>48.08</v>
      </c>
      <c r="J523" s="21">
        <v>28.81</v>
      </c>
      <c r="K523" s="21">
        <v>411.08</v>
      </c>
    </row>
    <row r="524" spans="1:11" ht="15.75" customHeight="1" x14ac:dyDescent="0.2">
      <c r="A524" s="6"/>
      <c r="B524" s="6"/>
      <c r="G524" s="20">
        <v>45383</v>
      </c>
      <c r="H524" s="22">
        <v>0.75</v>
      </c>
      <c r="I524" s="21">
        <v>50.63</v>
      </c>
      <c r="J524" s="21">
        <v>25.64</v>
      </c>
      <c r="K524" s="21">
        <v>418.67</v>
      </c>
    </row>
    <row r="525" spans="1:11" ht="15.75" customHeight="1" x14ac:dyDescent="0.2">
      <c r="A525" s="6"/>
      <c r="B525" s="6"/>
      <c r="G525" s="20">
        <v>45383</v>
      </c>
      <c r="H525" s="22">
        <v>0.79166666666666663</v>
      </c>
      <c r="I525" s="21">
        <v>53.25</v>
      </c>
      <c r="J525" s="21">
        <v>23.06</v>
      </c>
      <c r="K525" s="21">
        <v>435.43</v>
      </c>
    </row>
    <row r="526" spans="1:11" ht="15.75" customHeight="1" x14ac:dyDescent="0.2">
      <c r="A526" s="6"/>
      <c r="B526" s="6"/>
      <c r="G526" s="20">
        <v>45383</v>
      </c>
      <c r="H526" s="22">
        <v>0.83333333333333337</v>
      </c>
      <c r="I526" s="21">
        <v>56.35</v>
      </c>
      <c r="J526" s="21">
        <v>20.7</v>
      </c>
      <c r="K526" s="21">
        <v>450.25</v>
      </c>
    </row>
    <row r="527" spans="1:11" ht="15.75" customHeight="1" x14ac:dyDescent="0.2">
      <c r="A527" s="6"/>
      <c r="B527" s="6"/>
      <c r="G527" s="20">
        <v>45383</v>
      </c>
      <c r="H527" s="22">
        <v>0.875</v>
      </c>
      <c r="I527" s="21">
        <v>58.09</v>
      </c>
      <c r="J527" s="21">
        <v>19.649999999999999</v>
      </c>
      <c r="K527" s="21">
        <v>465.54</v>
      </c>
    </row>
    <row r="528" spans="1:11" ht="15.75" customHeight="1" x14ac:dyDescent="0.2">
      <c r="A528" s="6"/>
      <c r="B528" s="6"/>
      <c r="G528" s="20">
        <v>45383</v>
      </c>
      <c r="H528" s="22">
        <v>0.91666666666666663</v>
      </c>
      <c r="I528" s="21">
        <v>59.29</v>
      </c>
      <c r="J528" s="21">
        <v>18.95</v>
      </c>
      <c r="K528" s="21">
        <v>471.93</v>
      </c>
    </row>
    <row r="529" spans="1:11" ht="15.75" customHeight="1" x14ac:dyDescent="0.2">
      <c r="A529" s="6"/>
      <c r="B529" s="6"/>
      <c r="G529" s="20">
        <v>45384</v>
      </c>
      <c r="H529" s="22">
        <v>0.95833333333333337</v>
      </c>
      <c r="I529" s="21">
        <v>59.97</v>
      </c>
      <c r="J529" s="21">
        <v>18.39</v>
      </c>
      <c r="K529" s="21">
        <v>477.07</v>
      </c>
    </row>
    <row r="530" spans="1:11" ht="15.75" customHeight="1" x14ac:dyDescent="0.2">
      <c r="A530" s="6"/>
      <c r="B530" s="6"/>
      <c r="G530" s="20">
        <v>45384</v>
      </c>
      <c r="H530" s="22">
        <v>0</v>
      </c>
      <c r="I530" s="21">
        <v>61.31</v>
      </c>
      <c r="J530" s="21">
        <v>18.059999999999999</v>
      </c>
      <c r="K530" s="21">
        <v>481.23</v>
      </c>
    </row>
    <row r="531" spans="1:11" ht="15.75" customHeight="1" x14ac:dyDescent="0.2">
      <c r="A531" s="6"/>
      <c r="B531" s="6"/>
      <c r="G531" s="20">
        <v>45384</v>
      </c>
      <c r="H531" s="22">
        <v>4.1666666666666664E-2</v>
      </c>
      <c r="I531" s="21">
        <v>62.18</v>
      </c>
      <c r="J531" s="21">
        <v>17.739999999999998</v>
      </c>
      <c r="K531" s="21">
        <v>486.38</v>
      </c>
    </row>
    <row r="532" spans="1:11" ht="15.75" customHeight="1" x14ac:dyDescent="0.2">
      <c r="A532" s="6"/>
      <c r="B532" s="6"/>
      <c r="G532" s="20">
        <v>45384</v>
      </c>
      <c r="H532" s="22">
        <v>8.3333333333333329E-2</v>
      </c>
      <c r="I532" s="21">
        <v>62.54</v>
      </c>
      <c r="J532" s="21">
        <v>17.48</v>
      </c>
      <c r="K532" s="21">
        <v>490.53</v>
      </c>
    </row>
    <row r="533" spans="1:11" ht="15.75" customHeight="1" x14ac:dyDescent="0.2">
      <c r="A533" s="6"/>
      <c r="B533" s="6"/>
      <c r="G533" s="20">
        <v>45384</v>
      </c>
      <c r="H533" s="22">
        <v>0.125</v>
      </c>
      <c r="I533" s="21">
        <v>63.13</v>
      </c>
      <c r="J533" s="21">
        <v>17.309999999999999</v>
      </c>
      <c r="K533" s="21">
        <v>497.49</v>
      </c>
    </row>
    <row r="534" spans="1:11" ht="15.75" customHeight="1" x14ac:dyDescent="0.2">
      <c r="A534" s="6"/>
      <c r="B534" s="6"/>
      <c r="G534" s="20">
        <v>45384</v>
      </c>
      <c r="H534" s="22">
        <v>0.16666666666666666</v>
      </c>
      <c r="I534" s="21">
        <v>63.61</v>
      </c>
      <c r="J534" s="21">
        <v>17.059999999999999</v>
      </c>
      <c r="K534" s="21">
        <v>497.13</v>
      </c>
    </row>
    <row r="535" spans="1:11" ht="15.75" customHeight="1" x14ac:dyDescent="0.2">
      <c r="A535" s="6"/>
      <c r="B535" s="6"/>
      <c r="G535" s="20">
        <v>45384</v>
      </c>
      <c r="H535" s="22">
        <v>0.20833333333333334</v>
      </c>
      <c r="I535" s="21">
        <v>64.099999999999994</v>
      </c>
      <c r="J535" s="21">
        <v>17.100000000000001</v>
      </c>
      <c r="K535" s="21">
        <v>499.12</v>
      </c>
    </row>
    <row r="536" spans="1:11" ht="15.75" customHeight="1" x14ac:dyDescent="0.2">
      <c r="A536" s="6"/>
      <c r="B536" s="6"/>
      <c r="G536" s="20">
        <v>45384</v>
      </c>
      <c r="H536" s="22">
        <v>0.25</v>
      </c>
      <c r="I536" s="21">
        <v>63.03</v>
      </c>
      <c r="J536" s="21">
        <v>20.309999999999999</v>
      </c>
      <c r="K536" s="21">
        <v>481.62</v>
      </c>
    </row>
    <row r="537" spans="1:11" ht="15.75" customHeight="1" x14ac:dyDescent="0.2">
      <c r="A537" s="6"/>
      <c r="B537" s="6"/>
      <c r="G537" s="20">
        <v>45384</v>
      </c>
      <c r="H537" s="22">
        <v>0.29166666666666669</v>
      </c>
      <c r="I537" s="21">
        <v>59.81</v>
      </c>
      <c r="J537" s="21">
        <v>24.92</v>
      </c>
      <c r="K537" s="21">
        <v>459.59</v>
      </c>
    </row>
    <row r="538" spans="1:11" ht="15.75" customHeight="1" x14ac:dyDescent="0.2">
      <c r="A538" s="6"/>
      <c r="B538" s="6"/>
      <c r="G538" s="20">
        <v>45384</v>
      </c>
      <c r="H538" s="22">
        <v>0.33333333333333331</v>
      </c>
      <c r="I538" s="21">
        <v>57.12</v>
      </c>
      <c r="J538" s="21">
        <v>23.48</v>
      </c>
      <c r="K538" s="21">
        <v>448.75</v>
      </c>
    </row>
    <row r="539" spans="1:11" ht="15.75" customHeight="1" x14ac:dyDescent="0.2">
      <c r="A539" s="6"/>
      <c r="B539" s="6"/>
      <c r="G539" s="20">
        <v>45384</v>
      </c>
      <c r="H539" s="22">
        <v>0.375</v>
      </c>
      <c r="I539" s="21">
        <v>54.56</v>
      </c>
      <c r="J539" s="21">
        <v>25.57</v>
      </c>
      <c r="K539" s="21">
        <v>438.59</v>
      </c>
    </row>
    <row r="540" spans="1:11" ht="15.75" customHeight="1" x14ac:dyDescent="0.2">
      <c r="A540" s="6"/>
      <c r="B540" s="6"/>
      <c r="G540" s="20">
        <v>45384</v>
      </c>
      <c r="H540" s="22">
        <v>0.41666666666666669</v>
      </c>
      <c r="I540" s="21">
        <v>51.53</v>
      </c>
      <c r="J540" s="21">
        <v>26.82</v>
      </c>
      <c r="K540" s="21">
        <v>428.6</v>
      </c>
    </row>
    <row r="541" spans="1:11" ht="15.75" customHeight="1" x14ac:dyDescent="0.2">
      <c r="A541" s="6"/>
      <c r="B541" s="6"/>
      <c r="G541" s="20">
        <v>45384</v>
      </c>
      <c r="H541" s="22">
        <v>0.45833333333333331</v>
      </c>
      <c r="I541" s="21">
        <v>49.82</v>
      </c>
      <c r="J541" s="21">
        <v>27.47</v>
      </c>
      <c r="K541" s="21">
        <v>427</v>
      </c>
    </row>
    <row r="542" spans="1:11" ht="15.75" customHeight="1" x14ac:dyDescent="0.2">
      <c r="A542" s="6"/>
      <c r="B542" s="6"/>
      <c r="G542" s="20">
        <v>45386</v>
      </c>
      <c r="H542" s="22">
        <v>0.5</v>
      </c>
      <c r="I542" s="21">
        <v>49.38</v>
      </c>
      <c r="J542" s="21">
        <v>28.12</v>
      </c>
      <c r="K542" s="21">
        <v>446.05</v>
      </c>
    </row>
    <row r="543" spans="1:11" ht="15.75" customHeight="1" x14ac:dyDescent="0.2">
      <c r="A543" s="6"/>
      <c r="B543" s="6"/>
      <c r="G543" s="20">
        <v>45386</v>
      </c>
      <c r="H543" s="22">
        <v>0.375</v>
      </c>
      <c r="I543" s="21">
        <v>51.3</v>
      </c>
      <c r="J543" s="21">
        <v>26.32</v>
      </c>
      <c r="K543" s="21">
        <v>442.44</v>
      </c>
    </row>
    <row r="544" spans="1:11" ht="15.75" customHeight="1" x14ac:dyDescent="0.2">
      <c r="A544" s="6"/>
      <c r="B544" s="6"/>
      <c r="G544" s="20">
        <v>45386</v>
      </c>
      <c r="H544" s="22">
        <v>0.41666666666666669</v>
      </c>
      <c r="I544" s="21">
        <v>50.24</v>
      </c>
      <c r="J544" s="21">
        <v>26.48</v>
      </c>
      <c r="K544" s="21">
        <v>440.81</v>
      </c>
    </row>
    <row r="545" spans="1:11" ht="15.75" customHeight="1" x14ac:dyDescent="0.2">
      <c r="A545" s="6"/>
      <c r="B545" s="6"/>
      <c r="G545" s="20">
        <v>45386</v>
      </c>
      <c r="H545" s="22">
        <v>0.45833333333333331</v>
      </c>
      <c r="I545" s="21">
        <v>47.19</v>
      </c>
      <c r="J545" s="21">
        <v>28.92</v>
      </c>
      <c r="K545" s="21">
        <v>467.86</v>
      </c>
    </row>
    <row r="546" spans="1:11" ht="15.75" customHeight="1" x14ac:dyDescent="0.2">
      <c r="A546" s="6"/>
      <c r="B546" s="6"/>
      <c r="G546" s="20">
        <v>45386</v>
      </c>
      <c r="H546" s="22">
        <v>0.5</v>
      </c>
      <c r="I546" s="21">
        <v>41.28</v>
      </c>
      <c r="J546" s="21">
        <v>37.270000000000003</v>
      </c>
      <c r="K546" s="21">
        <v>446.6</v>
      </c>
    </row>
    <row r="547" spans="1:11" ht="15.75" customHeight="1" x14ac:dyDescent="0.2">
      <c r="A547" s="6"/>
      <c r="B547" s="6"/>
      <c r="G547" s="20">
        <v>45386</v>
      </c>
      <c r="H547" s="22">
        <v>0.54166666666666663</v>
      </c>
      <c r="I547" s="21">
        <v>44.46</v>
      </c>
      <c r="J547" s="21">
        <v>29.47</v>
      </c>
      <c r="K547" s="21">
        <v>419.33</v>
      </c>
    </row>
    <row r="548" spans="1:11" ht="15.75" customHeight="1" x14ac:dyDescent="0.2">
      <c r="A548" s="6"/>
      <c r="B548" s="6"/>
      <c r="G548" s="20">
        <v>45386</v>
      </c>
      <c r="H548" s="22">
        <v>0.58333333333333337</v>
      </c>
      <c r="I548" s="21">
        <v>46.64</v>
      </c>
      <c r="J548" s="21">
        <v>25.53</v>
      </c>
      <c r="K548" s="21">
        <v>419.54</v>
      </c>
    </row>
    <row r="549" spans="1:11" ht="15.75" customHeight="1" x14ac:dyDescent="0.2">
      <c r="A549" s="6"/>
      <c r="B549" s="6"/>
      <c r="G549" s="20">
        <v>45386</v>
      </c>
      <c r="H549" s="22">
        <v>0.625</v>
      </c>
      <c r="I549" s="21">
        <v>48.53</v>
      </c>
      <c r="J549" s="21">
        <v>23.9</v>
      </c>
      <c r="K549" s="21">
        <v>421.79</v>
      </c>
    </row>
    <row r="550" spans="1:11" ht="15.75" customHeight="1" x14ac:dyDescent="0.2">
      <c r="A550" s="6"/>
      <c r="B550" s="6"/>
      <c r="G550" s="20">
        <v>45386</v>
      </c>
      <c r="H550" s="22">
        <v>0.66666666666666663</v>
      </c>
      <c r="I550" s="21">
        <v>50.58</v>
      </c>
      <c r="J550" s="21">
        <v>25.06</v>
      </c>
      <c r="K550" s="21">
        <v>425.79</v>
      </c>
    </row>
    <row r="551" spans="1:11" ht="15.75" customHeight="1" x14ac:dyDescent="0.2">
      <c r="A551" s="6"/>
      <c r="B551" s="6"/>
      <c r="G551" s="20">
        <v>45386</v>
      </c>
      <c r="H551" s="22">
        <v>0.70833333333333337</v>
      </c>
      <c r="I551" s="21">
        <v>51.05</v>
      </c>
      <c r="J551" s="21">
        <v>26.88</v>
      </c>
      <c r="K551" s="21">
        <v>426.53</v>
      </c>
    </row>
    <row r="552" spans="1:11" ht="15.75" customHeight="1" x14ac:dyDescent="0.2">
      <c r="A552" s="6"/>
      <c r="B552" s="6"/>
      <c r="G552" s="20">
        <v>45386</v>
      </c>
      <c r="H552" s="22">
        <v>0.75</v>
      </c>
      <c r="I552" s="21">
        <v>53.02</v>
      </c>
      <c r="J552" s="21">
        <v>23.25</v>
      </c>
      <c r="K552" s="21">
        <v>438.81</v>
      </c>
    </row>
    <row r="553" spans="1:11" ht="15.75" customHeight="1" x14ac:dyDescent="0.2">
      <c r="A553" s="6"/>
      <c r="B553" s="6"/>
      <c r="G553" s="20">
        <v>45386</v>
      </c>
      <c r="H553" s="22">
        <v>0.79166666666666663</v>
      </c>
      <c r="I553" s="21">
        <v>54.57</v>
      </c>
      <c r="J553" s="21">
        <v>21.18</v>
      </c>
      <c r="K553" s="21">
        <v>453.8</v>
      </c>
    </row>
    <row r="554" spans="1:11" ht="15.75" customHeight="1" x14ac:dyDescent="0.2">
      <c r="A554" s="6"/>
      <c r="B554" s="6"/>
      <c r="G554" s="20">
        <v>45386</v>
      </c>
      <c r="H554" s="22">
        <v>0.83333333333333337</v>
      </c>
      <c r="I554" s="21">
        <v>55.65</v>
      </c>
      <c r="J554" s="21">
        <v>19.46</v>
      </c>
      <c r="K554" s="21">
        <v>466.49</v>
      </c>
    </row>
    <row r="555" spans="1:11" ht="15.75" customHeight="1" x14ac:dyDescent="0.2">
      <c r="A555" s="6"/>
      <c r="B555" s="6"/>
      <c r="G555" s="20">
        <v>45386</v>
      </c>
      <c r="H555" s="22">
        <v>0.875</v>
      </c>
      <c r="I555" s="21">
        <v>56.87</v>
      </c>
      <c r="J555" s="21">
        <v>18.46</v>
      </c>
      <c r="K555" s="21">
        <v>476.93</v>
      </c>
    </row>
    <row r="556" spans="1:11" ht="15.75" customHeight="1" x14ac:dyDescent="0.2">
      <c r="A556" s="6"/>
      <c r="B556" s="6"/>
      <c r="G556" s="20">
        <v>45386</v>
      </c>
      <c r="H556" s="22">
        <v>0.91666666666666663</v>
      </c>
      <c r="I556" s="21">
        <v>58.51</v>
      </c>
      <c r="J556" s="21">
        <v>17.739999999999998</v>
      </c>
      <c r="K556" s="21">
        <v>480.78</v>
      </c>
    </row>
    <row r="557" spans="1:11" ht="15.75" customHeight="1" x14ac:dyDescent="0.2">
      <c r="A557" s="6"/>
      <c r="B557" s="6"/>
      <c r="G557" s="20">
        <v>45387</v>
      </c>
      <c r="H557" s="22">
        <v>0.95833333333333337</v>
      </c>
      <c r="I557" s="21">
        <v>59.59</v>
      </c>
      <c r="J557" s="21">
        <v>16.72</v>
      </c>
      <c r="K557" s="21">
        <v>489.27</v>
      </c>
    </row>
    <row r="558" spans="1:11" ht="15.75" customHeight="1" x14ac:dyDescent="0.2">
      <c r="A558" s="6"/>
      <c r="B558" s="6"/>
      <c r="G558" s="20">
        <v>45387</v>
      </c>
      <c r="H558" s="22">
        <v>0</v>
      </c>
      <c r="I558" s="21">
        <v>60.38</v>
      </c>
      <c r="J558" s="21">
        <v>15.89</v>
      </c>
      <c r="K558" s="21">
        <v>503.93</v>
      </c>
    </row>
    <row r="559" spans="1:11" ht="15.75" customHeight="1" x14ac:dyDescent="0.2">
      <c r="A559" s="6"/>
      <c r="B559" s="6"/>
      <c r="G559" s="20">
        <v>45387</v>
      </c>
      <c r="H559" s="22">
        <v>4.1666666666666664E-2</v>
      </c>
      <c r="I559" s="21">
        <v>61.4</v>
      </c>
      <c r="J559" s="21">
        <v>15.67</v>
      </c>
      <c r="K559" s="21">
        <v>510.05</v>
      </c>
    </row>
    <row r="560" spans="1:11" ht="15.75" customHeight="1" x14ac:dyDescent="0.2">
      <c r="A560" s="6"/>
      <c r="B560" s="6"/>
      <c r="G560" s="20">
        <v>45387</v>
      </c>
      <c r="H560" s="22">
        <v>8.3333333333333329E-2</v>
      </c>
      <c r="I560" s="21">
        <v>61.85</v>
      </c>
      <c r="J560" s="21">
        <v>15.2</v>
      </c>
      <c r="K560" s="21">
        <v>514.6</v>
      </c>
    </row>
    <row r="561" spans="1:11" ht="15.75" customHeight="1" x14ac:dyDescent="0.2">
      <c r="A561" s="6"/>
      <c r="B561" s="6"/>
      <c r="G561" s="20">
        <v>45387</v>
      </c>
      <c r="H561" s="22">
        <v>0.125</v>
      </c>
      <c r="I561" s="21">
        <v>62.22</v>
      </c>
      <c r="J561" s="21">
        <v>14.59</v>
      </c>
      <c r="K561" s="21">
        <v>520.72</v>
      </c>
    </row>
    <row r="562" spans="1:11" ht="15.75" customHeight="1" x14ac:dyDescent="0.2">
      <c r="A562" s="6"/>
      <c r="B562" s="6"/>
      <c r="G562" s="20">
        <v>45387</v>
      </c>
      <c r="H562" s="22">
        <v>0.16666666666666666</v>
      </c>
      <c r="I562" s="21">
        <v>62.56</v>
      </c>
      <c r="J562" s="21">
        <v>14.18</v>
      </c>
      <c r="K562" s="21">
        <v>525.88</v>
      </c>
    </row>
    <row r="563" spans="1:11" ht="15.75" customHeight="1" x14ac:dyDescent="0.2">
      <c r="A563" s="6"/>
      <c r="B563" s="6"/>
      <c r="G563" s="20">
        <v>45387</v>
      </c>
      <c r="H563" s="22">
        <v>0.20833333333333334</v>
      </c>
      <c r="I563" s="21">
        <v>62.76</v>
      </c>
      <c r="J563" s="21">
        <v>14.08</v>
      </c>
      <c r="K563" s="21">
        <v>532.1</v>
      </c>
    </row>
    <row r="564" spans="1:11" ht="15.75" customHeight="1" x14ac:dyDescent="0.2">
      <c r="A564" s="6"/>
      <c r="B564" s="6"/>
      <c r="G564" s="20">
        <v>45387</v>
      </c>
      <c r="H564" s="22">
        <v>0.25</v>
      </c>
      <c r="I564" s="21">
        <v>61.6</v>
      </c>
      <c r="J564" s="21">
        <v>17.510000000000002</v>
      </c>
      <c r="K564" s="21">
        <v>495.42</v>
      </c>
    </row>
    <row r="565" spans="1:11" ht="15.75" customHeight="1" x14ac:dyDescent="0.2">
      <c r="A565" s="6"/>
      <c r="B565" s="6"/>
      <c r="G565" s="20">
        <v>45387</v>
      </c>
      <c r="H565" s="22">
        <v>0.29166666666666669</v>
      </c>
      <c r="I565" s="21">
        <v>58.22</v>
      </c>
      <c r="J565" s="21">
        <v>24.58</v>
      </c>
      <c r="K565" s="21">
        <v>473.32</v>
      </c>
    </row>
    <row r="566" spans="1:11" ht="15.75" customHeight="1" x14ac:dyDescent="0.2">
      <c r="A566" s="6"/>
      <c r="B566" s="6"/>
      <c r="G566" s="20">
        <v>45387</v>
      </c>
      <c r="H566" s="22">
        <v>0.33333333333333331</v>
      </c>
      <c r="I566" s="21">
        <v>55.68</v>
      </c>
      <c r="J566" s="21">
        <v>23.72</v>
      </c>
      <c r="K566" s="21">
        <v>463.74</v>
      </c>
    </row>
    <row r="567" spans="1:11" ht="15.75" customHeight="1" x14ac:dyDescent="0.2">
      <c r="A567" s="6"/>
      <c r="B567" s="6"/>
      <c r="G567" s="20">
        <v>45387</v>
      </c>
      <c r="H567" s="22">
        <v>0.375</v>
      </c>
      <c r="I567" s="21">
        <v>53.36</v>
      </c>
      <c r="J567" s="21">
        <v>24.5</v>
      </c>
      <c r="K567" s="21">
        <v>457.77</v>
      </c>
    </row>
    <row r="568" spans="1:11" ht="15.75" customHeight="1" x14ac:dyDescent="0.2">
      <c r="A568" s="6"/>
      <c r="B568" s="6"/>
      <c r="G568" s="20">
        <v>45387</v>
      </c>
      <c r="H568" s="22">
        <v>0.41666666666666669</v>
      </c>
      <c r="I568" s="21">
        <v>51.45</v>
      </c>
      <c r="J568" s="21">
        <v>25.82</v>
      </c>
      <c r="K568" s="21">
        <v>447.21</v>
      </c>
    </row>
    <row r="569" spans="1:11" ht="15.75" customHeight="1" x14ac:dyDescent="0.2">
      <c r="A569" s="6"/>
      <c r="B569" s="6"/>
      <c r="G569" s="20">
        <v>45387</v>
      </c>
      <c r="H569" s="22">
        <v>0.45833333333333331</v>
      </c>
      <c r="I569" s="21">
        <v>48.86</v>
      </c>
      <c r="J569" s="21">
        <v>26.88</v>
      </c>
      <c r="K569" s="21">
        <v>437.49</v>
      </c>
    </row>
    <row r="570" spans="1:11" ht="15.75" customHeight="1" x14ac:dyDescent="0.2">
      <c r="A570" s="6"/>
      <c r="B570" s="6"/>
      <c r="G570" s="20">
        <v>45387</v>
      </c>
      <c r="H570" s="22">
        <v>0.5</v>
      </c>
      <c r="I570" s="21">
        <v>48.27</v>
      </c>
      <c r="J570" s="21">
        <v>26.35</v>
      </c>
      <c r="K570" s="21">
        <v>426.57</v>
      </c>
    </row>
    <row r="571" spans="1:11" ht="15.75" customHeight="1" x14ac:dyDescent="0.2">
      <c r="A571" s="6"/>
      <c r="B571" s="6"/>
      <c r="G571" s="20">
        <v>45387</v>
      </c>
      <c r="H571" s="22">
        <v>0.54166666666666663</v>
      </c>
      <c r="I571" s="21">
        <v>48.58</v>
      </c>
      <c r="J571" s="21">
        <v>26.2</v>
      </c>
      <c r="K571" s="21">
        <v>423.87</v>
      </c>
    </row>
    <row r="572" spans="1:11" ht="15.75" customHeight="1" x14ac:dyDescent="0.2">
      <c r="A572" s="6"/>
      <c r="B572" s="6"/>
      <c r="G572" s="20">
        <v>45387</v>
      </c>
      <c r="H572" s="22">
        <v>0.58333333333333337</v>
      </c>
      <c r="I572" s="21">
        <v>50.12</v>
      </c>
      <c r="J572" s="21">
        <v>25.65</v>
      </c>
      <c r="K572" s="21">
        <v>422.71</v>
      </c>
    </row>
    <row r="573" spans="1:11" ht="15.75" customHeight="1" x14ac:dyDescent="0.2">
      <c r="A573" s="6"/>
      <c r="B573" s="6"/>
      <c r="G573" s="20">
        <v>45387</v>
      </c>
      <c r="H573" s="22">
        <v>0.625</v>
      </c>
      <c r="I573" s="21">
        <v>52.21</v>
      </c>
      <c r="J573" s="21">
        <v>24.16</v>
      </c>
      <c r="K573" s="21">
        <v>421.26</v>
      </c>
    </row>
    <row r="574" spans="1:11" ht="15.75" customHeight="1" x14ac:dyDescent="0.2">
      <c r="A574" s="6"/>
      <c r="B574" s="6"/>
      <c r="G574" s="20">
        <v>45387</v>
      </c>
      <c r="H574" s="22">
        <v>0.66666666666666663</v>
      </c>
      <c r="I574" s="21">
        <v>53.75</v>
      </c>
      <c r="J574" s="21">
        <v>24.45</v>
      </c>
      <c r="K574" s="21">
        <v>427.81</v>
      </c>
    </row>
    <row r="575" spans="1:11" ht="15.75" customHeight="1" x14ac:dyDescent="0.2">
      <c r="A575" s="6"/>
      <c r="B575" s="6"/>
      <c r="G575" s="20">
        <v>45387</v>
      </c>
      <c r="H575" s="22">
        <v>0.70833333333333337</v>
      </c>
      <c r="I575" s="21">
        <v>54.17</v>
      </c>
      <c r="J575" s="21">
        <v>26.34</v>
      </c>
      <c r="K575" s="21">
        <v>429</v>
      </c>
    </row>
    <row r="576" spans="1:11" ht="15.75" customHeight="1" x14ac:dyDescent="0.2">
      <c r="A576" s="6"/>
      <c r="B576" s="6"/>
      <c r="G576" s="20">
        <v>45387</v>
      </c>
      <c r="H576" s="22">
        <v>0.75</v>
      </c>
      <c r="I576" s="21">
        <v>55.94</v>
      </c>
      <c r="J576" s="21">
        <v>22.3</v>
      </c>
      <c r="K576" s="21">
        <v>446.16</v>
      </c>
    </row>
    <row r="577" spans="1:11" ht="15.75" customHeight="1" x14ac:dyDescent="0.2">
      <c r="A577" s="6"/>
      <c r="B577" s="6"/>
      <c r="G577" s="20">
        <v>45387</v>
      </c>
      <c r="H577" s="22">
        <v>0.79166666666666663</v>
      </c>
      <c r="I577" s="21">
        <v>57.44</v>
      </c>
      <c r="J577" s="21">
        <v>19.71</v>
      </c>
      <c r="K577" s="21">
        <v>463.3</v>
      </c>
    </row>
    <row r="578" spans="1:11" ht="15.75" customHeight="1" x14ac:dyDescent="0.2">
      <c r="A578" s="6"/>
      <c r="B578" s="6"/>
      <c r="G578" s="20">
        <v>45387</v>
      </c>
      <c r="H578" s="22">
        <v>0.83333333333333337</v>
      </c>
      <c r="I578" s="21">
        <v>59.2</v>
      </c>
      <c r="J578" s="21">
        <v>17.96</v>
      </c>
      <c r="K578" s="21">
        <v>471.02</v>
      </c>
    </row>
    <row r="579" spans="1:11" ht="15.75" customHeight="1" x14ac:dyDescent="0.2">
      <c r="A579" s="6"/>
      <c r="B579" s="6"/>
      <c r="G579" s="20">
        <v>45387</v>
      </c>
      <c r="H579" s="22">
        <v>0.875</v>
      </c>
      <c r="I579" s="21">
        <v>60.45</v>
      </c>
      <c r="J579" s="21">
        <v>17.38</v>
      </c>
      <c r="K579" s="21">
        <v>476.83</v>
      </c>
    </row>
    <row r="580" spans="1:11" ht="15.75" customHeight="1" x14ac:dyDescent="0.2">
      <c r="A580" s="6"/>
      <c r="B580" s="6"/>
      <c r="G580" s="20">
        <v>45387</v>
      </c>
      <c r="H580" s="22">
        <v>0.91666666666666663</v>
      </c>
      <c r="I580" s="21">
        <v>61.68</v>
      </c>
      <c r="J580" s="21">
        <v>16.899999999999999</v>
      </c>
      <c r="K580" s="21">
        <v>482.74</v>
      </c>
    </row>
    <row r="581" spans="1:11" ht="15.75" customHeight="1" x14ac:dyDescent="0.2">
      <c r="A581" s="6"/>
      <c r="B581" s="6"/>
      <c r="G581" s="20">
        <v>45388</v>
      </c>
      <c r="H581" s="22">
        <v>0.95833333333333337</v>
      </c>
      <c r="I581" s="21">
        <v>62.31</v>
      </c>
      <c r="J581" s="21">
        <v>16.399999999999999</v>
      </c>
      <c r="K581" s="21">
        <v>487.05</v>
      </c>
    </row>
    <row r="582" spans="1:11" ht="15.75" customHeight="1" x14ac:dyDescent="0.2">
      <c r="A582" s="6"/>
      <c r="B582" s="6"/>
      <c r="G582" s="20">
        <v>45388</v>
      </c>
      <c r="H582" s="22">
        <v>0</v>
      </c>
      <c r="I582" s="21">
        <v>62.47</v>
      </c>
      <c r="J582" s="21">
        <v>16.149999999999999</v>
      </c>
      <c r="K582" s="21">
        <v>491.45</v>
      </c>
    </row>
    <row r="583" spans="1:11" ht="15.75" customHeight="1" x14ac:dyDescent="0.2">
      <c r="A583" s="6"/>
      <c r="B583" s="6"/>
      <c r="G583" s="20">
        <v>45388</v>
      </c>
      <c r="H583" s="22">
        <v>4.1666666666666664E-2</v>
      </c>
      <c r="I583" s="21">
        <v>62.49</v>
      </c>
      <c r="J583" s="21">
        <v>16.559999999999999</v>
      </c>
      <c r="K583" s="21">
        <v>495.08</v>
      </c>
    </row>
    <row r="584" spans="1:11" ht="15.75" customHeight="1" x14ac:dyDescent="0.2">
      <c r="A584" s="6"/>
      <c r="B584" s="6"/>
      <c r="G584" s="20">
        <v>45388</v>
      </c>
      <c r="H584" s="22">
        <v>8.3333333333333329E-2</v>
      </c>
      <c r="I584" s="21">
        <v>63.13</v>
      </c>
      <c r="J584" s="21">
        <v>16.53</v>
      </c>
      <c r="K584" s="21">
        <v>493.93</v>
      </c>
    </row>
    <row r="585" spans="1:11" ht="15.75" customHeight="1" x14ac:dyDescent="0.2">
      <c r="A585" s="6"/>
      <c r="B585" s="6"/>
      <c r="G585" s="20">
        <v>45388</v>
      </c>
      <c r="H585" s="22">
        <v>0.125</v>
      </c>
      <c r="I585" s="21">
        <v>63.39</v>
      </c>
      <c r="J585" s="21">
        <v>16.07</v>
      </c>
      <c r="K585" s="21">
        <v>499.04</v>
      </c>
    </row>
    <row r="586" spans="1:11" ht="15.75" customHeight="1" x14ac:dyDescent="0.2">
      <c r="A586" s="6"/>
      <c r="B586" s="6"/>
      <c r="G586" s="20">
        <v>45388</v>
      </c>
      <c r="H586" s="22">
        <v>0.16666666666666666</v>
      </c>
      <c r="I586" s="21">
        <v>64.25</v>
      </c>
      <c r="J586" s="21">
        <v>15.74</v>
      </c>
      <c r="K586" s="21">
        <v>499.72</v>
      </c>
    </row>
    <row r="587" spans="1:11" ht="15.75" customHeight="1" x14ac:dyDescent="0.2">
      <c r="A587" s="6"/>
      <c r="B587" s="6"/>
      <c r="G587" s="20">
        <v>45388</v>
      </c>
      <c r="H587" s="22">
        <v>0.20833333333333334</v>
      </c>
      <c r="I587" s="21">
        <v>64.22</v>
      </c>
      <c r="J587" s="21">
        <v>15.27</v>
      </c>
      <c r="K587" s="21">
        <v>502.93</v>
      </c>
    </row>
    <row r="588" spans="1:11" ht="15.75" customHeight="1" x14ac:dyDescent="0.2">
      <c r="A588" s="6"/>
      <c r="B588" s="6"/>
      <c r="G588" s="20">
        <v>45388</v>
      </c>
      <c r="H588" s="22">
        <v>0.25</v>
      </c>
      <c r="I588" s="21">
        <v>62.7</v>
      </c>
      <c r="J588" s="21">
        <v>17.82</v>
      </c>
      <c r="K588" s="21">
        <v>479.63</v>
      </c>
    </row>
    <row r="589" spans="1:11" ht="15.75" customHeight="1" x14ac:dyDescent="0.2">
      <c r="A589" s="6"/>
      <c r="B589" s="6"/>
      <c r="G589" s="20">
        <v>45388</v>
      </c>
      <c r="H589" s="22">
        <v>0.29166666666666669</v>
      </c>
      <c r="I589" s="21">
        <v>61.24</v>
      </c>
      <c r="J589" s="21">
        <v>22.86</v>
      </c>
      <c r="K589" s="21">
        <v>455.43</v>
      </c>
    </row>
    <row r="590" spans="1:11" ht="15.75" customHeight="1" x14ac:dyDescent="0.2">
      <c r="A590" s="6"/>
      <c r="B590" s="6"/>
      <c r="G590" s="20">
        <v>45388</v>
      </c>
      <c r="H590" s="22">
        <v>0.33333333333333331</v>
      </c>
      <c r="I590" s="21">
        <v>58.39</v>
      </c>
      <c r="J590" s="21">
        <v>24.13</v>
      </c>
      <c r="K590" s="21">
        <v>449.27</v>
      </c>
    </row>
    <row r="591" spans="1:11" ht="15.75" customHeight="1" x14ac:dyDescent="0.2">
      <c r="A591" s="6"/>
      <c r="B591" s="6"/>
      <c r="G591" s="20">
        <v>45388</v>
      </c>
      <c r="H591" s="22">
        <v>0.375</v>
      </c>
      <c r="I591" s="21">
        <v>55.27</v>
      </c>
      <c r="J591" s="21">
        <v>24.61</v>
      </c>
      <c r="K591" s="21">
        <v>442.87</v>
      </c>
    </row>
    <row r="592" spans="1:11" ht="15.75" customHeight="1" x14ac:dyDescent="0.2">
      <c r="A592" s="6"/>
      <c r="B592" s="6"/>
      <c r="G592" s="20">
        <v>45388</v>
      </c>
      <c r="H592" s="22">
        <v>0.41666666666666669</v>
      </c>
      <c r="I592" s="21">
        <v>52.64</v>
      </c>
      <c r="J592" s="21">
        <v>24.94</v>
      </c>
      <c r="K592" s="21">
        <v>432.27</v>
      </c>
    </row>
    <row r="593" spans="1:11" ht="15.75" customHeight="1" x14ac:dyDescent="0.2">
      <c r="A593" s="6"/>
      <c r="B593" s="6"/>
      <c r="G593" s="20">
        <v>45388</v>
      </c>
      <c r="H593" s="22">
        <v>0.45833333333333331</v>
      </c>
      <c r="I593" s="21">
        <v>50.68</v>
      </c>
      <c r="J593" s="21">
        <v>26</v>
      </c>
      <c r="K593" s="21">
        <v>424.1</v>
      </c>
    </row>
    <row r="594" spans="1:11" ht="15.75" customHeight="1" x14ac:dyDescent="0.2">
      <c r="A594" s="6"/>
      <c r="B594" s="6"/>
      <c r="G594" s="20">
        <v>45388</v>
      </c>
      <c r="H594" s="22">
        <v>0.5</v>
      </c>
      <c r="I594" s="21">
        <v>50.21</v>
      </c>
      <c r="J594" s="21">
        <v>25.58</v>
      </c>
      <c r="K594" s="21">
        <v>422.36</v>
      </c>
    </row>
    <row r="595" spans="1:11" ht="15.75" customHeight="1" x14ac:dyDescent="0.2">
      <c r="A595" s="6"/>
      <c r="B595" s="6"/>
      <c r="G595" s="20">
        <v>45388</v>
      </c>
      <c r="H595" s="22">
        <v>0.54166666666666663</v>
      </c>
      <c r="I595" s="21">
        <v>50.66</v>
      </c>
      <c r="J595" s="21">
        <v>24.97</v>
      </c>
      <c r="K595" s="21">
        <v>417.71</v>
      </c>
    </row>
    <row r="596" spans="1:11" ht="15.75" customHeight="1" x14ac:dyDescent="0.2">
      <c r="A596" s="6"/>
      <c r="B596" s="6"/>
      <c r="G596" s="20">
        <v>45388</v>
      </c>
      <c r="H596" s="22">
        <v>0.58333333333333337</v>
      </c>
      <c r="I596" s="21">
        <v>51.95</v>
      </c>
      <c r="J596" s="21">
        <v>24.25</v>
      </c>
      <c r="K596" s="21">
        <v>417.27</v>
      </c>
    </row>
    <row r="597" spans="1:11" ht="15.75" customHeight="1" x14ac:dyDescent="0.2">
      <c r="A597" s="6"/>
      <c r="B597" s="6"/>
      <c r="G597" s="20">
        <v>45388</v>
      </c>
      <c r="H597" s="22">
        <v>0.625</v>
      </c>
      <c r="I597" s="21">
        <v>52.9</v>
      </c>
      <c r="J597" s="21">
        <v>22.84</v>
      </c>
      <c r="K597" s="21">
        <v>416.59</v>
      </c>
    </row>
    <row r="598" spans="1:11" ht="15.75" customHeight="1" x14ac:dyDescent="0.2">
      <c r="A598" s="6"/>
      <c r="B598" s="6"/>
      <c r="G598" s="20">
        <v>45388</v>
      </c>
      <c r="H598" s="22">
        <v>0.66666666666666663</v>
      </c>
      <c r="I598" s="21">
        <v>53.73</v>
      </c>
      <c r="J598" s="21">
        <v>25.46</v>
      </c>
      <c r="K598" s="21">
        <v>420.79</v>
      </c>
    </row>
    <row r="599" spans="1:11" ht="15.75" customHeight="1" x14ac:dyDescent="0.2">
      <c r="A599" s="6"/>
      <c r="B599" s="6"/>
      <c r="G599" s="20">
        <v>45388</v>
      </c>
      <c r="H599" s="22">
        <v>0.70833333333333337</v>
      </c>
      <c r="I599" s="21">
        <v>54.48</v>
      </c>
      <c r="J599" s="21">
        <v>24.96</v>
      </c>
      <c r="K599" s="21">
        <v>434.03</v>
      </c>
    </row>
    <row r="600" spans="1:11" ht="15.75" customHeight="1" x14ac:dyDescent="0.2">
      <c r="A600" s="6"/>
      <c r="B600" s="6"/>
      <c r="G600" s="20">
        <v>45388</v>
      </c>
      <c r="H600" s="22">
        <v>0.75</v>
      </c>
      <c r="I600" s="21">
        <v>55.76</v>
      </c>
      <c r="J600" s="21">
        <v>20.14</v>
      </c>
      <c r="K600" s="21">
        <v>444.59</v>
      </c>
    </row>
    <row r="601" spans="1:11" ht="15.75" customHeight="1" x14ac:dyDescent="0.2">
      <c r="A601" s="6"/>
      <c r="B601" s="6"/>
      <c r="G601" s="20">
        <v>45388</v>
      </c>
      <c r="H601" s="22">
        <v>0.79166666666666663</v>
      </c>
      <c r="I601" s="21">
        <v>57.31</v>
      </c>
      <c r="J601" s="21">
        <v>18.440000000000001</v>
      </c>
      <c r="K601" s="21">
        <v>460.61</v>
      </c>
    </row>
    <row r="602" spans="1:11" ht="15.75" customHeight="1" x14ac:dyDescent="0.2">
      <c r="A602" s="6"/>
      <c r="B602" s="6"/>
      <c r="G602" s="20">
        <v>45388</v>
      </c>
      <c r="H602" s="22">
        <v>0.83333333333333337</v>
      </c>
      <c r="I602" s="21">
        <v>58.89</v>
      </c>
      <c r="J602" s="21">
        <v>17.649999999999999</v>
      </c>
      <c r="K602" s="21">
        <v>471.53</v>
      </c>
    </row>
    <row r="603" spans="1:11" ht="15.75" customHeight="1" x14ac:dyDescent="0.2">
      <c r="A603" s="6"/>
      <c r="B603" s="6"/>
      <c r="G603" s="20">
        <v>45388</v>
      </c>
      <c r="H603" s="22">
        <v>0.875</v>
      </c>
      <c r="I603" s="21">
        <v>60.53</v>
      </c>
      <c r="J603" s="21">
        <v>16.989999999999998</v>
      </c>
      <c r="K603" s="21">
        <v>473.21</v>
      </c>
    </row>
    <row r="604" spans="1:11" ht="15.75" customHeight="1" x14ac:dyDescent="0.2">
      <c r="A604" s="6"/>
      <c r="B604" s="6"/>
      <c r="G604" s="20">
        <v>45388</v>
      </c>
      <c r="H604" s="22">
        <v>0.91666666666666663</v>
      </c>
      <c r="I604" s="21">
        <v>61.76</v>
      </c>
      <c r="J604" s="21">
        <v>16.43</v>
      </c>
      <c r="K604" s="21">
        <v>475.42</v>
      </c>
    </row>
    <row r="605" spans="1:11" ht="15.75" customHeight="1" x14ac:dyDescent="0.2">
      <c r="A605" s="6"/>
      <c r="B605" s="6"/>
      <c r="G605" s="20">
        <v>45389</v>
      </c>
      <c r="H605" s="22">
        <v>0.95833333333333337</v>
      </c>
      <c r="I605" s="21">
        <v>62.82</v>
      </c>
      <c r="J605" s="21">
        <v>16.2</v>
      </c>
      <c r="K605" s="21">
        <v>481.23</v>
      </c>
    </row>
    <row r="606" spans="1:11" ht="15.75" customHeight="1" x14ac:dyDescent="0.2">
      <c r="A606" s="6"/>
      <c r="B606" s="6"/>
      <c r="G606" s="20">
        <v>45389</v>
      </c>
      <c r="H606" s="22">
        <v>0</v>
      </c>
      <c r="I606" s="21">
        <v>63.04</v>
      </c>
      <c r="J606" s="21">
        <v>17.03</v>
      </c>
      <c r="K606" s="21">
        <v>485</v>
      </c>
    </row>
    <row r="607" spans="1:11" ht="15.75" customHeight="1" x14ac:dyDescent="0.2">
      <c r="A607" s="6"/>
      <c r="B607" s="6"/>
      <c r="G607" s="20">
        <v>45389</v>
      </c>
      <c r="H607" s="22">
        <v>4.1666666666666664E-2</v>
      </c>
      <c r="I607" s="21">
        <v>63.57</v>
      </c>
      <c r="J607" s="21">
        <v>17.11</v>
      </c>
      <c r="K607" s="21">
        <v>486.92</v>
      </c>
    </row>
    <row r="608" spans="1:11" ht="15.75" customHeight="1" x14ac:dyDescent="0.2">
      <c r="A608" s="6"/>
      <c r="B608" s="6"/>
      <c r="G608" s="20">
        <v>45389</v>
      </c>
      <c r="H608" s="22">
        <v>8.3333333333333329E-2</v>
      </c>
      <c r="I608" s="21">
        <v>63.97</v>
      </c>
      <c r="J608" s="21">
        <v>17.05</v>
      </c>
      <c r="K608" s="21">
        <v>489.44</v>
      </c>
    </row>
    <row r="609" spans="1:11" ht="15.75" customHeight="1" x14ac:dyDescent="0.2">
      <c r="A609" s="6"/>
      <c r="B609" s="6"/>
      <c r="G609" s="20">
        <v>45389</v>
      </c>
      <c r="H609" s="22">
        <v>0.125</v>
      </c>
      <c r="I609" s="21">
        <v>63.85</v>
      </c>
      <c r="J609" s="21">
        <v>17.690000000000001</v>
      </c>
      <c r="K609" s="21">
        <v>490.15</v>
      </c>
    </row>
    <row r="610" spans="1:11" ht="15.75" customHeight="1" x14ac:dyDescent="0.2">
      <c r="A610" s="6"/>
      <c r="B610" s="6"/>
      <c r="G610" s="20">
        <v>45389</v>
      </c>
      <c r="H610" s="22">
        <v>0.16666666666666666</v>
      </c>
      <c r="I610" s="21">
        <v>64.27</v>
      </c>
      <c r="J610" s="21">
        <v>17.37</v>
      </c>
      <c r="K610" s="21">
        <v>493.28</v>
      </c>
    </row>
    <row r="611" spans="1:11" ht="15.75" customHeight="1" x14ac:dyDescent="0.2">
      <c r="A611" s="6"/>
      <c r="B611" s="6"/>
      <c r="G611" s="20">
        <v>45389</v>
      </c>
      <c r="H611" s="22">
        <v>0.20833333333333334</v>
      </c>
      <c r="I611" s="21">
        <v>64.42</v>
      </c>
      <c r="J611" s="21">
        <v>17.62</v>
      </c>
      <c r="K611" s="21">
        <v>491.01</v>
      </c>
    </row>
    <row r="612" spans="1:11" ht="15.75" customHeight="1" x14ac:dyDescent="0.2">
      <c r="A612" s="6"/>
      <c r="B612" s="6"/>
      <c r="G612" s="20">
        <v>45389</v>
      </c>
      <c r="H612" s="22">
        <v>0.25</v>
      </c>
      <c r="I612" s="21">
        <v>64.17</v>
      </c>
      <c r="J612" s="21">
        <v>18.93</v>
      </c>
      <c r="K612" s="21">
        <v>472.66</v>
      </c>
    </row>
    <row r="613" spans="1:11" ht="15.75" customHeight="1" x14ac:dyDescent="0.2">
      <c r="A613" s="6"/>
      <c r="B613" s="6"/>
      <c r="G613" s="20">
        <v>45389</v>
      </c>
      <c r="H613" s="22">
        <v>0.29166666666666669</v>
      </c>
      <c r="I613" s="21">
        <v>61.66</v>
      </c>
      <c r="J613" s="21">
        <v>23.69</v>
      </c>
      <c r="K613" s="21">
        <v>457.24</v>
      </c>
    </row>
    <row r="614" spans="1:11" ht="15.75" customHeight="1" x14ac:dyDescent="0.2">
      <c r="A614" s="6"/>
      <c r="B614" s="6"/>
      <c r="G614" s="20">
        <v>45389</v>
      </c>
      <c r="H614" s="22">
        <v>0.33333333333333331</v>
      </c>
      <c r="I614" s="21">
        <v>59.08</v>
      </c>
      <c r="J614" s="21">
        <v>24.36</v>
      </c>
      <c r="K614" s="21">
        <v>444.85</v>
      </c>
    </row>
    <row r="615" spans="1:11" ht="15.75" customHeight="1" x14ac:dyDescent="0.2">
      <c r="A615" s="6"/>
      <c r="B615" s="6"/>
      <c r="G615" s="20">
        <v>45389</v>
      </c>
      <c r="H615" s="22">
        <v>0.375</v>
      </c>
      <c r="I615" s="21">
        <v>55.97</v>
      </c>
      <c r="J615" s="21">
        <v>24.41</v>
      </c>
      <c r="K615" s="21">
        <v>437.6</v>
      </c>
    </row>
    <row r="616" spans="1:11" ht="15.75" customHeight="1" x14ac:dyDescent="0.2">
      <c r="A616" s="6"/>
      <c r="B616" s="6"/>
      <c r="G616" s="20">
        <v>45389</v>
      </c>
      <c r="H616" s="22">
        <v>0.41666666666666669</v>
      </c>
      <c r="I616" s="21">
        <v>54.22</v>
      </c>
      <c r="J616" s="21">
        <v>24.83</v>
      </c>
      <c r="K616" s="21">
        <v>425.97</v>
      </c>
    </row>
    <row r="617" spans="1:11" ht="15.75" customHeight="1" x14ac:dyDescent="0.2">
      <c r="A617" s="6"/>
      <c r="B617" s="6"/>
      <c r="G617" s="20">
        <v>45389</v>
      </c>
      <c r="H617" s="22">
        <v>0.45833333333333331</v>
      </c>
      <c r="I617" s="21">
        <v>51.72</v>
      </c>
      <c r="J617" s="21">
        <v>25.36</v>
      </c>
      <c r="K617" s="21">
        <v>420.49</v>
      </c>
    </row>
    <row r="618" spans="1:11" ht="15.75" customHeight="1" x14ac:dyDescent="0.2">
      <c r="A618" s="6"/>
      <c r="B618" s="6"/>
      <c r="G618" s="20">
        <v>45389</v>
      </c>
      <c r="H618" s="22">
        <v>0.5</v>
      </c>
      <c r="I618" s="21">
        <v>51.88</v>
      </c>
      <c r="J618" s="21">
        <v>25.32</v>
      </c>
      <c r="K618" s="21">
        <v>416.96</v>
      </c>
    </row>
    <row r="619" spans="1:11" ht="15.75" customHeight="1" x14ac:dyDescent="0.2">
      <c r="A619" s="6"/>
      <c r="B619" s="6"/>
      <c r="G619" s="20">
        <v>45389</v>
      </c>
      <c r="H619" s="22">
        <v>0.54166666666666663</v>
      </c>
      <c r="I619" s="21">
        <v>51.67</v>
      </c>
      <c r="J619" s="21">
        <v>25.29</v>
      </c>
      <c r="K619" s="23">
        <v>414.74</v>
      </c>
    </row>
    <row r="620" spans="1:11" ht="15.75" customHeight="1" x14ac:dyDescent="0.2">
      <c r="A620" s="6"/>
      <c r="B620" s="6"/>
      <c r="G620" s="20">
        <v>45389</v>
      </c>
      <c r="H620" s="22">
        <v>0.58333333333333337</v>
      </c>
      <c r="I620" s="23">
        <v>52.57</v>
      </c>
      <c r="J620" s="23">
        <v>24.34</v>
      </c>
      <c r="K620" s="23">
        <v>413.98</v>
      </c>
    </row>
    <row r="621" spans="1:11" ht="15.75" customHeight="1" x14ac:dyDescent="0.2">
      <c r="A621" s="6"/>
      <c r="B621" s="6"/>
      <c r="G621" s="20">
        <v>45389</v>
      </c>
      <c r="H621" s="22">
        <v>0.625</v>
      </c>
      <c r="I621" s="23">
        <v>53.82</v>
      </c>
      <c r="J621" s="23">
        <v>24.9</v>
      </c>
      <c r="K621" s="23">
        <v>417.22</v>
      </c>
    </row>
    <row r="622" spans="1:11" ht="15.75" customHeight="1" x14ac:dyDescent="0.2">
      <c r="A622" s="6"/>
      <c r="B622" s="6"/>
      <c r="G622" s="20">
        <v>45389</v>
      </c>
      <c r="H622" s="22">
        <v>0.66666666666666663</v>
      </c>
      <c r="I622" s="23">
        <v>54.87</v>
      </c>
      <c r="J622" s="23">
        <v>25.17</v>
      </c>
      <c r="K622" s="23">
        <v>420.12</v>
      </c>
    </row>
    <row r="623" spans="1:11" ht="15.75" customHeight="1" x14ac:dyDescent="0.2">
      <c r="A623" s="6"/>
      <c r="B623" s="6"/>
      <c r="G623" s="20">
        <v>45389</v>
      </c>
      <c r="H623" s="22">
        <v>0.70833333333333337</v>
      </c>
      <c r="I623" s="23">
        <v>55.07</v>
      </c>
      <c r="J623" s="23">
        <v>25.51</v>
      </c>
      <c r="K623" s="23">
        <v>430.95</v>
      </c>
    </row>
    <row r="624" spans="1:11" ht="15.75" customHeight="1" x14ac:dyDescent="0.2">
      <c r="A624" s="6"/>
      <c r="B624" s="6"/>
      <c r="G624" s="20">
        <v>45389</v>
      </c>
      <c r="H624" s="22">
        <v>0.75</v>
      </c>
      <c r="I624" s="23">
        <v>56.76</v>
      </c>
      <c r="J624" s="23">
        <v>20.9</v>
      </c>
      <c r="K624" s="23">
        <v>446.28</v>
      </c>
    </row>
    <row r="625" spans="1:11" ht="15.75" customHeight="1" x14ac:dyDescent="0.2">
      <c r="A625" s="6"/>
      <c r="B625" s="6"/>
      <c r="G625" s="20">
        <v>45389</v>
      </c>
      <c r="H625" s="22">
        <v>0.79166666666666663</v>
      </c>
      <c r="I625" s="23">
        <v>58.31</v>
      </c>
      <c r="J625" s="23">
        <v>19.010000000000002</v>
      </c>
      <c r="K625" s="23">
        <v>456.48</v>
      </c>
    </row>
    <row r="626" spans="1:11" ht="15.75" customHeight="1" x14ac:dyDescent="0.2">
      <c r="A626" s="6"/>
      <c r="B626" s="6"/>
      <c r="G626" s="20">
        <v>45389</v>
      </c>
      <c r="H626" s="22">
        <v>0.83333333333333337</v>
      </c>
      <c r="I626" s="23">
        <v>59.86</v>
      </c>
      <c r="J626" s="23">
        <v>17.940000000000001</v>
      </c>
      <c r="K626" s="23">
        <v>461.61</v>
      </c>
    </row>
    <row r="627" spans="1:11" ht="15.75" customHeight="1" x14ac:dyDescent="0.2">
      <c r="A627" s="6"/>
      <c r="B627" s="6"/>
      <c r="G627" s="20">
        <v>45389</v>
      </c>
      <c r="H627" s="22">
        <v>0.875</v>
      </c>
      <c r="I627" s="23">
        <v>61.23</v>
      </c>
      <c r="J627" s="23">
        <v>17.2</v>
      </c>
      <c r="K627" s="23">
        <v>466.92</v>
      </c>
    </row>
    <row r="628" spans="1:11" ht="15.75" customHeight="1" x14ac:dyDescent="0.2">
      <c r="A628" s="6"/>
      <c r="B628" s="6"/>
      <c r="G628" s="20">
        <v>45389</v>
      </c>
      <c r="H628" s="22">
        <v>0.91666666666666663</v>
      </c>
      <c r="I628" s="23">
        <v>62.44</v>
      </c>
      <c r="J628" s="23">
        <v>16.809999999999999</v>
      </c>
      <c r="K628" s="23">
        <v>470.38</v>
      </c>
    </row>
    <row r="629" spans="1:11" ht="15.75" customHeight="1" x14ac:dyDescent="0.2">
      <c r="A629" s="6"/>
      <c r="B629" s="6"/>
      <c r="G629" s="20">
        <v>45390</v>
      </c>
      <c r="H629" s="22">
        <v>0.95833333333333337</v>
      </c>
      <c r="I629" s="23">
        <v>63.37</v>
      </c>
      <c r="J629" s="23">
        <v>16.29</v>
      </c>
      <c r="K629" s="23">
        <v>473.38</v>
      </c>
    </row>
    <row r="630" spans="1:11" ht="15.75" customHeight="1" x14ac:dyDescent="0.2">
      <c r="A630" s="6"/>
      <c r="B630" s="6"/>
      <c r="G630" s="20">
        <v>45390</v>
      </c>
      <c r="H630" s="22">
        <v>0</v>
      </c>
      <c r="I630" s="23">
        <v>64.010000000000005</v>
      </c>
      <c r="J630" s="23">
        <v>15.69</v>
      </c>
      <c r="K630" s="23">
        <v>476.69</v>
      </c>
    </row>
    <row r="631" spans="1:11" ht="15.75" customHeight="1" x14ac:dyDescent="0.2">
      <c r="A631" s="6"/>
      <c r="B631" s="6"/>
      <c r="G631" s="20">
        <v>45390</v>
      </c>
      <c r="H631" s="22">
        <v>4.1666666666666664E-2</v>
      </c>
      <c r="I631" s="23">
        <v>64.41</v>
      </c>
      <c r="J631" s="23">
        <v>15.49</v>
      </c>
      <c r="K631" s="23">
        <v>478.99</v>
      </c>
    </row>
    <row r="632" spans="1:11" ht="15.75" customHeight="1" x14ac:dyDescent="0.2">
      <c r="A632" s="6"/>
      <c r="B632" s="6"/>
      <c r="G632" s="20">
        <v>45390</v>
      </c>
      <c r="H632" s="22">
        <v>8.3333333333333329E-2</v>
      </c>
      <c r="I632" s="23">
        <v>64.69</v>
      </c>
      <c r="J632" s="23">
        <v>15.73</v>
      </c>
      <c r="K632" s="23">
        <v>479.78</v>
      </c>
    </row>
    <row r="633" spans="1:11" ht="15.75" customHeight="1" x14ac:dyDescent="0.2">
      <c r="A633" s="6"/>
      <c r="B633" s="6"/>
      <c r="G633" s="20">
        <v>45390</v>
      </c>
      <c r="H633" s="22">
        <v>0.125</v>
      </c>
      <c r="I633" s="23">
        <v>64.91</v>
      </c>
      <c r="J633" s="23">
        <v>15.8</v>
      </c>
      <c r="K633" s="23">
        <v>480.45</v>
      </c>
    </row>
    <row r="634" spans="1:11" ht="15.75" customHeight="1" x14ac:dyDescent="0.2">
      <c r="A634" s="6"/>
      <c r="B634" s="6"/>
      <c r="G634" s="20">
        <v>45390</v>
      </c>
      <c r="H634" s="22">
        <v>0.16666666666666666</v>
      </c>
      <c r="I634" s="23">
        <v>65.209999999999994</v>
      </c>
      <c r="J634" s="23">
        <v>15.54</v>
      </c>
      <c r="K634" s="23">
        <v>487.52</v>
      </c>
    </row>
    <row r="635" spans="1:11" ht="15.75" customHeight="1" x14ac:dyDescent="0.2">
      <c r="A635" s="6"/>
      <c r="B635" s="6"/>
      <c r="G635" s="20">
        <v>45390</v>
      </c>
      <c r="H635" s="22">
        <v>0.20833333333333334</v>
      </c>
      <c r="I635" s="23">
        <v>65.17</v>
      </c>
      <c r="J635" s="23">
        <v>16.29</v>
      </c>
      <c r="K635" s="23">
        <v>487.3</v>
      </c>
    </row>
    <row r="636" spans="1:11" ht="15.75" customHeight="1" x14ac:dyDescent="0.2">
      <c r="A636" s="6"/>
      <c r="B636" s="6"/>
      <c r="G636" s="20">
        <v>45390</v>
      </c>
      <c r="H636" s="22">
        <v>0.25</v>
      </c>
      <c r="I636" s="23">
        <v>63.97</v>
      </c>
      <c r="J636" s="23">
        <v>19.989999999999998</v>
      </c>
      <c r="K636" s="23">
        <v>463.32</v>
      </c>
    </row>
    <row r="637" spans="1:11" ht="15.75" customHeight="1" x14ac:dyDescent="0.2">
      <c r="A637" s="6"/>
      <c r="B637" s="6"/>
      <c r="G637" s="20">
        <v>45390</v>
      </c>
      <c r="H637" s="22">
        <v>0.29166666666666669</v>
      </c>
      <c r="I637" s="23">
        <v>61.4</v>
      </c>
      <c r="J637" s="23">
        <v>25.02</v>
      </c>
      <c r="K637" s="23">
        <v>452.63</v>
      </c>
    </row>
    <row r="638" spans="1:11" ht="15.75" customHeight="1" x14ac:dyDescent="0.2">
      <c r="A638" s="6"/>
      <c r="B638" s="6"/>
      <c r="G638" s="20">
        <v>45390</v>
      </c>
      <c r="H638" s="22">
        <v>0.33333333333333331</v>
      </c>
      <c r="I638" s="23">
        <v>58.61</v>
      </c>
      <c r="J638" s="23">
        <v>24.11</v>
      </c>
      <c r="K638" s="23">
        <v>440.49</v>
      </c>
    </row>
    <row r="639" spans="1:11" ht="15.75" customHeight="1" x14ac:dyDescent="0.2">
      <c r="A639" s="6"/>
      <c r="B639" s="6"/>
      <c r="G639" s="20">
        <v>45390</v>
      </c>
      <c r="H639" s="22">
        <v>0.375</v>
      </c>
      <c r="I639" s="23">
        <v>55.71</v>
      </c>
      <c r="J639" s="23">
        <v>24.31</v>
      </c>
      <c r="K639" s="23">
        <v>432.27</v>
      </c>
    </row>
    <row r="640" spans="1:11" ht="15.75" customHeight="1" x14ac:dyDescent="0.2">
      <c r="A640" s="6"/>
      <c r="B640" s="6"/>
      <c r="G640" s="20">
        <v>45390</v>
      </c>
      <c r="H640" s="22">
        <v>0.41666666666666669</v>
      </c>
      <c r="I640" s="23">
        <v>53.11</v>
      </c>
      <c r="J640" s="23">
        <v>25.06</v>
      </c>
      <c r="K640" s="23">
        <v>424.63</v>
      </c>
    </row>
    <row r="641" spans="1:11" ht="15.75" customHeight="1" x14ac:dyDescent="0.2">
      <c r="A641" s="6"/>
      <c r="B641" s="6"/>
      <c r="G641" s="20">
        <v>45390</v>
      </c>
      <c r="H641" s="22">
        <v>0.45833333333333331</v>
      </c>
      <c r="I641" s="23">
        <v>51.32</v>
      </c>
      <c r="J641" s="23">
        <v>25.55</v>
      </c>
      <c r="K641" s="23">
        <v>419.67</v>
      </c>
    </row>
    <row r="642" spans="1:11" ht="15.75" customHeight="1" x14ac:dyDescent="0.2">
      <c r="A642" s="6"/>
      <c r="B642" s="6"/>
      <c r="G642" s="20">
        <v>45390</v>
      </c>
      <c r="H642" s="22">
        <v>0.5</v>
      </c>
      <c r="I642" s="23">
        <v>50.94</v>
      </c>
      <c r="J642" s="23">
        <v>25.43</v>
      </c>
      <c r="K642" s="23">
        <v>420.01</v>
      </c>
    </row>
    <row r="643" spans="1:11" ht="15.75" customHeight="1" x14ac:dyDescent="0.2">
      <c r="A643" s="6"/>
      <c r="B643" s="6"/>
      <c r="G643" s="12"/>
      <c r="H643" s="22">
        <v>0.54166666666666663</v>
      </c>
      <c r="I643" s="23">
        <v>52.69</v>
      </c>
      <c r="J643" s="23">
        <v>26.25</v>
      </c>
      <c r="K643" s="12"/>
    </row>
    <row r="644" spans="1:11" ht="15.75" customHeight="1" x14ac:dyDescent="0.15">
      <c r="A644" s="6"/>
      <c r="B644" s="6"/>
      <c r="G644" s="12"/>
      <c r="H644" s="12"/>
      <c r="I644" s="12"/>
      <c r="J644" s="12"/>
      <c r="K644" s="12"/>
    </row>
    <row r="645" spans="1:11" ht="15.75" customHeight="1" x14ac:dyDescent="0.15">
      <c r="A645" s="6"/>
      <c r="B645" s="6"/>
      <c r="G645" s="12"/>
      <c r="H645" s="12"/>
      <c r="I645" s="12"/>
      <c r="J645" s="12"/>
      <c r="K645" s="12"/>
    </row>
    <row r="646" spans="1:11" ht="15.75" customHeight="1" x14ac:dyDescent="0.15">
      <c r="A646" s="6"/>
      <c r="B646" s="6"/>
      <c r="G646" s="12"/>
      <c r="H646" s="12"/>
      <c r="I646" s="12"/>
      <c r="J646" s="12"/>
      <c r="K646" s="12"/>
    </row>
    <row r="647" spans="1:11" ht="15.75" customHeight="1" x14ac:dyDescent="0.15">
      <c r="A647" s="6"/>
      <c r="B647" s="6"/>
      <c r="G647" s="12"/>
      <c r="H647" s="12"/>
      <c r="I647" s="12"/>
      <c r="J647" s="12"/>
      <c r="K647" s="12"/>
    </row>
    <row r="648" spans="1:11" ht="15.75" customHeight="1" x14ac:dyDescent="0.15">
      <c r="A648" s="6"/>
      <c r="B648" s="6"/>
      <c r="G648" s="12"/>
      <c r="H648" s="12"/>
      <c r="I648" s="12"/>
      <c r="J648" s="12"/>
      <c r="K648" s="12"/>
    </row>
    <row r="649" spans="1:11" ht="15.75" customHeight="1" x14ac:dyDescent="0.15">
      <c r="A649" s="6"/>
      <c r="B649" s="6"/>
      <c r="G649" s="12"/>
      <c r="H649" s="12"/>
      <c r="I649" s="12"/>
      <c r="J649" s="12"/>
      <c r="K649" s="12"/>
    </row>
    <row r="650" spans="1:11" ht="15.75" customHeight="1" x14ac:dyDescent="0.15">
      <c r="A650" s="6"/>
      <c r="B650" s="6"/>
      <c r="G650" s="12"/>
      <c r="H650" s="12"/>
      <c r="I650" s="12"/>
      <c r="J650" s="12"/>
      <c r="K650" s="12"/>
    </row>
    <row r="651" spans="1:11" ht="15.75" customHeight="1" x14ac:dyDescent="0.15">
      <c r="A651" s="6"/>
      <c r="B651" s="6"/>
      <c r="G651" s="12"/>
      <c r="H651" s="12"/>
      <c r="I651" s="12"/>
      <c r="J651" s="12"/>
      <c r="K651" s="12"/>
    </row>
    <row r="652" spans="1:11" ht="15.75" customHeight="1" x14ac:dyDescent="0.15">
      <c r="A652" s="6"/>
      <c r="B652" s="6"/>
      <c r="G652" s="12"/>
      <c r="H652" s="12"/>
      <c r="I652" s="12"/>
      <c r="J652" s="12"/>
      <c r="K652" s="12"/>
    </row>
    <row r="653" spans="1:11" ht="15.75" customHeight="1" x14ac:dyDescent="0.15">
      <c r="A653" s="6"/>
      <c r="B653" s="6"/>
      <c r="G653" s="12"/>
      <c r="H653" s="12"/>
      <c r="I653" s="12"/>
      <c r="J653" s="12"/>
      <c r="K653" s="12"/>
    </row>
    <row r="654" spans="1:11" ht="15.75" customHeight="1" x14ac:dyDescent="0.15">
      <c r="A654" s="6"/>
      <c r="B654" s="6"/>
      <c r="G654" s="12"/>
      <c r="H654" s="12"/>
      <c r="I654" s="12"/>
      <c r="J654" s="12"/>
      <c r="K654" s="12"/>
    </row>
    <row r="655" spans="1:11" ht="15.75" customHeight="1" x14ac:dyDescent="0.15">
      <c r="A655" s="6"/>
      <c r="B655" s="6"/>
      <c r="G655" s="12"/>
      <c r="H655" s="12"/>
      <c r="I655" s="12"/>
      <c r="J655" s="12"/>
      <c r="K655" s="12"/>
    </row>
    <row r="656" spans="1:11" ht="15.75" customHeight="1" x14ac:dyDescent="0.15">
      <c r="A656" s="6"/>
      <c r="B656" s="6"/>
      <c r="G656" s="12"/>
      <c r="H656" s="12"/>
      <c r="I656" s="12"/>
      <c r="J656" s="12"/>
      <c r="K656" s="12"/>
    </row>
    <row r="657" spans="1:11" ht="15.75" customHeight="1" x14ac:dyDescent="0.15">
      <c r="A657" s="6"/>
      <c r="B657" s="6"/>
      <c r="G657" s="12"/>
      <c r="H657" s="12"/>
      <c r="I657" s="12"/>
      <c r="J657" s="12"/>
      <c r="K657" s="12"/>
    </row>
    <row r="658" spans="1:11" ht="15.75" customHeight="1" x14ac:dyDescent="0.15">
      <c r="A658" s="6"/>
      <c r="B658" s="6"/>
      <c r="G658" s="12"/>
      <c r="H658" s="12"/>
      <c r="I658" s="12"/>
      <c r="J658" s="12"/>
      <c r="K658" s="12"/>
    </row>
    <row r="659" spans="1:11" ht="15.75" customHeight="1" x14ac:dyDescent="0.15">
      <c r="A659" s="6"/>
      <c r="B659" s="6"/>
      <c r="G659" s="12"/>
      <c r="H659" s="12"/>
      <c r="I659" s="12"/>
      <c r="J659" s="12"/>
      <c r="K659" s="12"/>
    </row>
    <row r="660" spans="1:11" ht="15.75" customHeight="1" x14ac:dyDescent="0.15">
      <c r="A660" s="6"/>
      <c r="B660" s="6"/>
      <c r="G660" s="12"/>
      <c r="H660" s="12"/>
      <c r="I660" s="12"/>
      <c r="J660" s="12"/>
      <c r="K660" s="12"/>
    </row>
    <row r="661" spans="1:11" ht="15.75" customHeight="1" x14ac:dyDescent="0.15">
      <c r="A661" s="6"/>
      <c r="B661" s="6"/>
      <c r="G661" s="12"/>
      <c r="H661" s="12"/>
      <c r="I661" s="12"/>
      <c r="J661" s="12"/>
      <c r="K661" s="12"/>
    </row>
    <row r="662" spans="1:11" ht="15.75" customHeight="1" x14ac:dyDescent="0.15">
      <c r="A662" s="6"/>
      <c r="B662" s="6"/>
      <c r="G662" s="12"/>
      <c r="H662" s="12"/>
      <c r="I662" s="12"/>
      <c r="J662" s="12"/>
      <c r="K662" s="12"/>
    </row>
    <row r="663" spans="1:11" ht="15.75" customHeight="1" x14ac:dyDescent="0.15">
      <c r="A663" s="6"/>
      <c r="B663" s="6"/>
      <c r="G663" s="12"/>
      <c r="H663" s="12"/>
      <c r="I663" s="12"/>
      <c r="J663" s="12"/>
      <c r="K663" s="12"/>
    </row>
    <row r="664" spans="1:11" ht="15.75" customHeight="1" x14ac:dyDescent="0.15">
      <c r="A664" s="6"/>
      <c r="B664" s="6"/>
      <c r="G664" s="12"/>
      <c r="H664" s="12"/>
      <c r="I664" s="12"/>
      <c r="J664" s="12"/>
      <c r="K664" s="12"/>
    </row>
    <row r="665" spans="1:11" ht="15.75" customHeight="1" x14ac:dyDescent="0.15">
      <c r="A665" s="6"/>
      <c r="B665" s="6"/>
      <c r="G665" s="12"/>
      <c r="H665" s="12"/>
      <c r="I665" s="12"/>
      <c r="J665" s="12"/>
      <c r="K665" s="12"/>
    </row>
    <row r="666" spans="1:11" ht="15.75" customHeight="1" x14ac:dyDescent="0.15">
      <c r="A666" s="6"/>
      <c r="B666" s="6"/>
      <c r="G666" s="12"/>
      <c r="H666" s="12"/>
      <c r="I666" s="12"/>
      <c r="J666" s="12"/>
      <c r="K666" s="12"/>
    </row>
    <row r="667" spans="1:11" ht="15.75" customHeight="1" x14ac:dyDescent="0.15">
      <c r="A667" s="6"/>
      <c r="B667" s="6"/>
      <c r="G667" s="12"/>
      <c r="H667" s="12"/>
      <c r="I667" s="12"/>
      <c r="J667" s="12"/>
      <c r="K667" s="12"/>
    </row>
    <row r="668" spans="1:11" ht="15.75" customHeight="1" x14ac:dyDescent="0.15">
      <c r="A668" s="6"/>
      <c r="B668" s="6"/>
      <c r="G668" s="12"/>
      <c r="H668" s="12"/>
      <c r="I668" s="12"/>
      <c r="J668" s="12"/>
      <c r="K668" s="12"/>
    </row>
    <row r="669" spans="1:11" ht="15.75" customHeight="1" x14ac:dyDescent="0.15">
      <c r="A669" s="6"/>
      <c r="B669" s="6"/>
      <c r="G669" s="12"/>
      <c r="H669" s="12"/>
      <c r="I669" s="12"/>
      <c r="J669" s="12"/>
      <c r="K669" s="12"/>
    </row>
    <row r="670" spans="1:11" ht="15.75" customHeight="1" x14ac:dyDescent="0.15">
      <c r="A670" s="6"/>
      <c r="B670" s="6"/>
      <c r="G670" s="12"/>
      <c r="H670" s="12"/>
      <c r="I670" s="12"/>
      <c r="J670" s="12"/>
      <c r="K670" s="12"/>
    </row>
    <row r="671" spans="1:11" ht="15.75" customHeight="1" x14ac:dyDescent="0.15">
      <c r="A671" s="6"/>
      <c r="B671" s="6"/>
      <c r="G671" s="12"/>
      <c r="H671" s="12"/>
      <c r="I671" s="12"/>
      <c r="J671" s="12"/>
      <c r="K671" s="12"/>
    </row>
    <row r="672" spans="1:11" ht="15.75" customHeight="1" x14ac:dyDescent="0.15">
      <c r="A672" s="6"/>
      <c r="B672" s="6"/>
      <c r="G672" s="12"/>
      <c r="H672" s="12"/>
      <c r="I672" s="12"/>
      <c r="J672" s="12"/>
      <c r="K672" s="12"/>
    </row>
    <row r="673" spans="1:11" ht="15.75" customHeight="1" x14ac:dyDescent="0.15">
      <c r="A673" s="6"/>
      <c r="B673" s="6"/>
      <c r="G673" s="12"/>
      <c r="H673" s="12"/>
      <c r="I673" s="12"/>
      <c r="J673" s="12"/>
      <c r="K673" s="12"/>
    </row>
    <row r="674" spans="1:11" ht="15.75" customHeight="1" x14ac:dyDescent="0.15">
      <c r="A674" s="6"/>
      <c r="B674" s="6"/>
      <c r="G674" s="12"/>
      <c r="H674" s="12"/>
      <c r="I674" s="12"/>
      <c r="J674" s="12"/>
      <c r="K674" s="12"/>
    </row>
    <row r="675" spans="1:11" ht="15.75" customHeight="1" x14ac:dyDescent="0.15">
      <c r="A675" s="6"/>
      <c r="B675" s="6"/>
      <c r="G675" s="12"/>
      <c r="H675" s="12"/>
      <c r="I675" s="12"/>
      <c r="J675" s="12"/>
      <c r="K675" s="12"/>
    </row>
    <row r="676" spans="1:11" ht="15.75" customHeight="1" x14ac:dyDescent="0.15">
      <c r="A676" s="6"/>
      <c r="B676" s="6"/>
      <c r="G676" s="12"/>
      <c r="H676" s="12"/>
      <c r="I676" s="12"/>
      <c r="J676" s="12"/>
      <c r="K676" s="12"/>
    </row>
    <row r="677" spans="1:11" ht="15.75" customHeight="1" x14ac:dyDescent="0.15">
      <c r="A677" s="6"/>
      <c r="B677" s="6"/>
      <c r="G677" s="12"/>
      <c r="H677" s="12"/>
      <c r="I677" s="12"/>
      <c r="J677" s="12"/>
      <c r="K677" s="12"/>
    </row>
    <row r="678" spans="1:11" ht="15.75" customHeight="1" x14ac:dyDescent="0.15">
      <c r="A678" s="6"/>
      <c r="B678" s="6"/>
      <c r="G678" s="12"/>
      <c r="H678" s="12"/>
      <c r="I678" s="12"/>
      <c r="J678" s="12"/>
      <c r="K678" s="12"/>
    </row>
    <row r="679" spans="1:11" ht="15.75" customHeight="1" x14ac:dyDescent="0.15">
      <c r="A679" s="6"/>
      <c r="B679" s="6"/>
      <c r="G679" s="12"/>
      <c r="H679" s="12"/>
      <c r="I679" s="12"/>
      <c r="J679" s="12"/>
      <c r="K679" s="12"/>
    </row>
    <row r="680" spans="1:11" ht="15.75" customHeight="1" x14ac:dyDescent="0.15">
      <c r="A680" s="6"/>
      <c r="B680" s="6"/>
      <c r="G680" s="12"/>
      <c r="H680" s="12"/>
      <c r="I680" s="12"/>
      <c r="J680" s="12"/>
      <c r="K680" s="12"/>
    </row>
    <row r="681" spans="1:11" ht="15.75" customHeight="1" x14ac:dyDescent="0.15">
      <c r="A681" s="6"/>
      <c r="B681" s="6"/>
      <c r="G681" s="12"/>
      <c r="H681" s="12"/>
      <c r="I681" s="12"/>
      <c r="J681" s="12"/>
      <c r="K681" s="12"/>
    </row>
    <row r="682" spans="1:11" ht="15.75" customHeight="1" x14ac:dyDescent="0.15">
      <c r="A682" s="6"/>
      <c r="B682" s="6"/>
      <c r="G682" s="12"/>
      <c r="H682" s="12"/>
      <c r="I682" s="12"/>
      <c r="J682" s="12"/>
      <c r="K682" s="12"/>
    </row>
    <row r="683" spans="1:11" ht="15.75" customHeight="1" x14ac:dyDescent="0.15">
      <c r="A683" s="6"/>
      <c r="B683" s="6"/>
      <c r="G683" s="12"/>
      <c r="H683" s="12"/>
      <c r="I683" s="12"/>
      <c r="J683" s="12"/>
      <c r="K683" s="12"/>
    </row>
    <row r="684" spans="1:11" ht="15.75" customHeight="1" x14ac:dyDescent="0.15">
      <c r="A684" s="6"/>
      <c r="B684" s="6"/>
      <c r="G684" s="12"/>
      <c r="H684" s="12"/>
      <c r="I684" s="12"/>
      <c r="J684" s="12"/>
      <c r="K684" s="12"/>
    </row>
    <row r="685" spans="1:11" ht="15.75" customHeight="1" x14ac:dyDescent="0.15">
      <c r="A685" s="6"/>
      <c r="B685" s="6"/>
      <c r="G685" s="12"/>
      <c r="H685" s="12"/>
      <c r="I685" s="12"/>
      <c r="J685" s="12"/>
      <c r="K685" s="12"/>
    </row>
    <row r="686" spans="1:11" ht="15.75" customHeight="1" x14ac:dyDescent="0.15">
      <c r="A686" s="6"/>
      <c r="B686" s="6"/>
      <c r="G686" s="12"/>
      <c r="H686" s="12"/>
      <c r="I686" s="12"/>
      <c r="J686" s="12"/>
      <c r="K686" s="12"/>
    </row>
    <row r="687" spans="1:11" ht="15.75" customHeight="1" x14ac:dyDescent="0.15">
      <c r="A687" s="6"/>
      <c r="B687" s="6"/>
      <c r="G687" s="12"/>
      <c r="H687" s="12"/>
      <c r="I687" s="12"/>
      <c r="J687" s="12"/>
      <c r="K687" s="12"/>
    </row>
    <row r="688" spans="1:11" ht="15.75" customHeight="1" x14ac:dyDescent="0.15">
      <c r="A688" s="6"/>
      <c r="B688" s="6"/>
      <c r="G688" s="12"/>
      <c r="H688" s="12"/>
      <c r="I688" s="12"/>
      <c r="J688" s="12"/>
      <c r="K688" s="12"/>
    </row>
    <row r="689" spans="1:11" ht="15.75" customHeight="1" x14ac:dyDescent="0.15">
      <c r="A689" s="6"/>
      <c r="B689" s="6"/>
      <c r="G689" s="12"/>
      <c r="H689" s="12"/>
      <c r="I689" s="12"/>
      <c r="J689" s="12"/>
      <c r="K689" s="12"/>
    </row>
    <row r="690" spans="1:11" ht="15.75" customHeight="1" x14ac:dyDescent="0.15">
      <c r="A690" s="6"/>
      <c r="B690" s="6"/>
      <c r="G690" s="12"/>
      <c r="H690" s="12"/>
      <c r="I690" s="12"/>
      <c r="J690" s="12"/>
      <c r="K690" s="12"/>
    </row>
    <row r="691" spans="1:11" ht="15.75" customHeight="1" x14ac:dyDescent="0.15">
      <c r="A691" s="6"/>
      <c r="B691" s="6"/>
      <c r="G691" s="12"/>
      <c r="H691" s="12"/>
      <c r="I691" s="12"/>
      <c r="J691" s="12"/>
      <c r="K691" s="12"/>
    </row>
    <row r="692" spans="1:11" ht="15.75" customHeight="1" x14ac:dyDescent="0.15">
      <c r="A692" s="6"/>
      <c r="B692" s="6"/>
      <c r="G692" s="12"/>
      <c r="H692" s="12"/>
      <c r="I692" s="12"/>
      <c r="J692" s="12"/>
      <c r="K692" s="12"/>
    </row>
    <row r="693" spans="1:11" ht="15.75" customHeight="1" x14ac:dyDescent="0.15">
      <c r="A693" s="6"/>
      <c r="B693" s="6"/>
      <c r="G693" s="12"/>
      <c r="H693" s="12"/>
      <c r="I693" s="12"/>
      <c r="J693" s="12"/>
      <c r="K693" s="12"/>
    </row>
    <row r="694" spans="1:11" ht="15.75" customHeight="1" x14ac:dyDescent="0.15">
      <c r="A694" s="6"/>
      <c r="B694" s="6"/>
      <c r="G694" s="12"/>
      <c r="H694" s="12"/>
      <c r="I694" s="12"/>
      <c r="J694" s="12"/>
      <c r="K694" s="12"/>
    </row>
    <row r="695" spans="1:11" ht="15.75" customHeight="1" x14ac:dyDescent="0.15">
      <c r="A695" s="6"/>
      <c r="B695" s="6"/>
      <c r="G695" s="12"/>
      <c r="H695" s="12"/>
      <c r="I695" s="12"/>
      <c r="J695" s="12"/>
      <c r="K695" s="12"/>
    </row>
    <row r="696" spans="1:11" ht="15.75" customHeight="1" x14ac:dyDescent="0.15">
      <c r="A696" s="6"/>
      <c r="B696" s="6"/>
      <c r="G696" s="12"/>
      <c r="H696" s="12"/>
      <c r="I696" s="12"/>
      <c r="J696" s="12"/>
      <c r="K696" s="12"/>
    </row>
    <row r="697" spans="1:11" ht="15.75" customHeight="1" x14ac:dyDescent="0.15">
      <c r="A697" s="6"/>
      <c r="B697" s="6"/>
      <c r="G697" s="12"/>
      <c r="H697" s="12"/>
      <c r="I697" s="12"/>
      <c r="J697" s="12"/>
      <c r="K697" s="12"/>
    </row>
    <row r="698" spans="1:11" ht="15.75" customHeight="1" x14ac:dyDescent="0.15">
      <c r="A698" s="6"/>
      <c r="B698" s="6"/>
      <c r="G698" s="12"/>
      <c r="H698" s="12"/>
      <c r="I698" s="12"/>
      <c r="J698" s="12"/>
      <c r="K698" s="12"/>
    </row>
    <row r="699" spans="1:11" ht="15.75" customHeight="1" x14ac:dyDescent="0.15">
      <c r="A699" s="6"/>
      <c r="B699" s="6"/>
      <c r="G699" s="12"/>
      <c r="H699" s="12"/>
      <c r="I699" s="12"/>
      <c r="J699" s="12"/>
      <c r="K699" s="12"/>
    </row>
    <row r="700" spans="1:11" ht="15.75" customHeight="1" x14ac:dyDescent="0.15">
      <c r="A700" s="6"/>
      <c r="B700" s="6"/>
      <c r="G700" s="12"/>
      <c r="H700" s="12"/>
      <c r="I700" s="12"/>
      <c r="J700" s="12"/>
      <c r="K700" s="12"/>
    </row>
    <row r="701" spans="1:11" ht="15.75" customHeight="1" x14ac:dyDescent="0.15">
      <c r="A701" s="6"/>
      <c r="B701" s="6"/>
      <c r="G701" s="12"/>
      <c r="H701" s="12"/>
      <c r="I701" s="12"/>
      <c r="J701" s="12"/>
      <c r="K701" s="12"/>
    </row>
    <row r="702" spans="1:11" ht="15.75" customHeight="1" x14ac:dyDescent="0.15">
      <c r="A702" s="6"/>
      <c r="B702" s="6"/>
      <c r="G702" s="12"/>
      <c r="H702" s="12"/>
      <c r="I702" s="12"/>
      <c r="J702" s="12"/>
      <c r="K702" s="12"/>
    </row>
    <row r="703" spans="1:11" ht="15.75" customHeight="1" x14ac:dyDescent="0.15">
      <c r="A703" s="6"/>
      <c r="B703" s="6"/>
      <c r="G703" s="12"/>
      <c r="H703" s="12"/>
      <c r="I703" s="12"/>
      <c r="J703" s="12"/>
      <c r="K703" s="12"/>
    </row>
    <row r="704" spans="1:11" ht="15.75" customHeight="1" x14ac:dyDescent="0.15">
      <c r="A704" s="6"/>
      <c r="B704" s="6"/>
      <c r="G704" s="12"/>
      <c r="H704" s="12"/>
      <c r="I704" s="12"/>
      <c r="J704" s="12"/>
      <c r="K704" s="12"/>
    </row>
    <row r="705" spans="1:11" ht="15.75" customHeight="1" x14ac:dyDescent="0.15">
      <c r="A705" s="6"/>
      <c r="B705" s="6"/>
      <c r="G705" s="12"/>
      <c r="H705" s="12"/>
      <c r="I705" s="12"/>
      <c r="J705" s="12"/>
      <c r="K705" s="12"/>
    </row>
    <row r="706" spans="1:11" ht="15.75" customHeight="1" x14ac:dyDescent="0.15">
      <c r="A706" s="6"/>
      <c r="B706" s="6"/>
      <c r="G706" s="12"/>
      <c r="H706" s="12"/>
      <c r="I706" s="12"/>
      <c r="J706" s="12"/>
      <c r="K706" s="12"/>
    </row>
    <row r="707" spans="1:11" ht="15.75" customHeight="1" x14ac:dyDescent="0.15">
      <c r="A707" s="6"/>
      <c r="B707" s="6"/>
      <c r="G707" s="12"/>
      <c r="H707" s="12"/>
      <c r="I707" s="12"/>
      <c r="J707" s="12"/>
      <c r="K707" s="12"/>
    </row>
    <row r="708" spans="1:11" ht="15.75" customHeight="1" x14ac:dyDescent="0.15">
      <c r="A708" s="6"/>
      <c r="B708" s="6"/>
      <c r="G708" s="12"/>
      <c r="H708" s="12"/>
      <c r="I708" s="12"/>
      <c r="J708" s="12"/>
      <c r="K708" s="12"/>
    </row>
    <row r="709" spans="1:11" ht="15.75" customHeight="1" x14ac:dyDescent="0.15">
      <c r="A709" s="6"/>
      <c r="B709" s="6"/>
      <c r="G709" s="12"/>
      <c r="H709" s="12"/>
      <c r="I709" s="12"/>
      <c r="J709" s="12"/>
      <c r="K709" s="12"/>
    </row>
    <row r="710" spans="1:11" ht="15.75" customHeight="1" x14ac:dyDescent="0.15">
      <c r="A710" s="6"/>
      <c r="B710" s="6"/>
      <c r="G710" s="12"/>
      <c r="H710" s="12"/>
      <c r="I710" s="12"/>
      <c r="J710" s="12"/>
      <c r="K710" s="12"/>
    </row>
    <row r="711" spans="1:11" ht="15.75" customHeight="1" x14ac:dyDescent="0.15">
      <c r="A711" s="6"/>
      <c r="B711" s="6"/>
      <c r="G711" s="12"/>
      <c r="H711" s="12"/>
      <c r="I711" s="12"/>
      <c r="J711" s="12"/>
      <c r="K711" s="12"/>
    </row>
    <row r="712" spans="1:11" ht="15.75" customHeight="1" x14ac:dyDescent="0.15">
      <c r="A712" s="6"/>
      <c r="B712" s="6"/>
      <c r="G712" s="12"/>
      <c r="H712" s="12"/>
      <c r="I712" s="12"/>
      <c r="J712" s="12"/>
      <c r="K712" s="12"/>
    </row>
    <row r="713" spans="1:11" ht="15.75" customHeight="1" x14ac:dyDescent="0.15">
      <c r="A713" s="6"/>
      <c r="B713" s="6"/>
      <c r="G713" s="12"/>
      <c r="H713" s="12"/>
      <c r="I713" s="12"/>
      <c r="J713" s="12"/>
      <c r="K713" s="12"/>
    </row>
    <row r="714" spans="1:11" ht="15.75" customHeight="1" x14ac:dyDescent="0.15">
      <c r="A714" s="6"/>
      <c r="B714" s="6"/>
      <c r="G714" s="12"/>
      <c r="H714" s="12"/>
      <c r="I714" s="12"/>
      <c r="J714" s="12"/>
      <c r="K714" s="12"/>
    </row>
    <row r="715" spans="1:11" ht="15.75" customHeight="1" x14ac:dyDescent="0.15">
      <c r="A715" s="6"/>
      <c r="B715" s="6"/>
      <c r="G715" s="12"/>
      <c r="H715" s="12"/>
      <c r="I715" s="12"/>
      <c r="J715" s="12"/>
      <c r="K715" s="12"/>
    </row>
    <row r="716" spans="1:11" ht="15.75" customHeight="1" x14ac:dyDescent="0.15">
      <c r="A716" s="6"/>
      <c r="B716" s="6"/>
      <c r="G716" s="12"/>
      <c r="H716" s="12"/>
      <c r="I716" s="12"/>
      <c r="J716" s="12"/>
      <c r="K716" s="12"/>
    </row>
    <row r="717" spans="1:11" ht="15.75" customHeight="1" x14ac:dyDescent="0.15">
      <c r="A717" s="6"/>
      <c r="B717" s="6"/>
      <c r="G717" s="12"/>
      <c r="H717" s="12"/>
      <c r="I717" s="12"/>
      <c r="J717" s="12"/>
      <c r="K717" s="12"/>
    </row>
    <row r="718" spans="1:11" ht="15.75" customHeight="1" x14ac:dyDescent="0.15">
      <c r="A718" s="6"/>
      <c r="B718" s="6"/>
      <c r="G718" s="12"/>
      <c r="H718" s="12"/>
      <c r="I718" s="12"/>
      <c r="J718" s="12"/>
      <c r="K718" s="12"/>
    </row>
    <row r="719" spans="1:11" ht="15.75" customHeight="1" x14ac:dyDescent="0.15">
      <c r="A719" s="6"/>
      <c r="B719" s="6"/>
      <c r="G719" s="12"/>
      <c r="H719" s="12"/>
      <c r="I719" s="12"/>
      <c r="J719" s="12"/>
      <c r="K719" s="12"/>
    </row>
    <row r="720" spans="1:11" ht="15.75" customHeight="1" x14ac:dyDescent="0.15">
      <c r="A720" s="6"/>
      <c r="B720" s="6"/>
      <c r="G720" s="12"/>
      <c r="H720" s="12"/>
      <c r="I720" s="12"/>
      <c r="J720" s="12"/>
      <c r="K720" s="12"/>
    </row>
    <row r="721" spans="1:11" ht="15.75" customHeight="1" x14ac:dyDescent="0.15">
      <c r="A721" s="6"/>
      <c r="B721" s="6"/>
      <c r="G721" s="12"/>
      <c r="H721" s="12"/>
      <c r="I721" s="12"/>
      <c r="J721" s="12"/>
      <c r="K721" s="12"/>
    </row>
    <row r="722" spans="1:11" ht="15.75" customHeight="1" x14ac:dyDescent="0.15">
      <c r="A722" s="6"/>
      <c r="B722" s="6"/>
      <c r="G722" s="12"/>
      <c r="H722" s="12"/>
      <c r="I722" s="12"/>
      <c r="J722" s="12"/>
      <c r="K722" s="12"/>
    </row>
    <row r="723" spans="1:11" ht="15.75" customHeight="1" x14ac:dyDescent="0.15">
      <c r="A723" s="6"/>
      <c r="B723" s="6"/>
      <c r="G723" s="12"/>
      <c r="H723" s="12"/>
      <c r="I723" s="12"/>
      <c r="J723" s="12"/>
      <c r="K723" s="12"/>
    </row>
    <row r="724" spans="1:11" ht="15.75" customHeight="1" x14ac:dyDescent="0.15">
      <c r="A724" s="6"/>
      <c r="B724" s="6"/>
      <c r="G724" s="12"/>
      <c r="H724" s="12"/>
      <c r="I724" s="12"/>
      <c r="J724" s="12"/>
      <c r="K724" s="12"/>
    </row>
    <row r="725" spans="1:11" ht="15.75" customHeight="1" x14ac:dyDescent="0.15">
      <c r="A725" s="6"/>
      <c r="B725" s="6"/>
      <c r="G725" s="12"/>
      <c r="H725" s="12"/>
      <c r="I725" s="12"/>
      <c r="J725" s="12"/>
      <c r="K725" s="12"/>
    </row>
    <row r="726" spans="1:11" ht="15.75" customHeight="1" x14ac:dyDescent="0.15">
      <c r="A726" s="6"/>
      <c r="B726" s="6"/>
      <c r="G726" s="12"/>
      <c r="H726" s="12"/>
      <c r="I726" s="12"/>
      <c r="J726" s="12"/>
      <c r="K726" s="12"/>
    </row>
    <row r="727" spans="1:11" ht="15.75" customHeight="1" x14ac:dyDescent="0.15">
      <c r="A727" s="6"/>
      <c r="B727" s="6"/>
      <c r="G727" s="12"/>
      <c r="H727" s="12"/>
      <c r="I727" s="12"/>
      <c r="J727" s="12"/>
      <c r="K727" s="12"/>
    </row>
    <row r="728" spans="1:11" ht="15.75" customHeight="1" x14ac:dyDescent="0.15">
      <c r="A728" s="6"/>
      <c r="B728" s="6"/>
      <c r="G728" s="12"/>
      <c r="H728" s="12"/>
      <c r="I728" s="12"/>
      <c r="J728" s="12"/>
      <c r="K728" s="12"/>
    </row>
    <row r="729" spans="1:11" ht="15.75" customHeight="1" x14ac:dyDescent="0.15">
      <c r="A729" s="6"/>
      <c r="B729" s="6"/>
      <c r="G729" s="12"/>
      <c r="H729" s="12"/>
      <c r="I729" s="12"/>
      <c r="J729" s="12"/>
      <c r="K729" s="12"/>
    </row>
    <row r="730" spans="1:11" ht="15.75" customHeight="1" x14ac:dyDescent="0.15">
      <c r="A730" s="6"/>
      <c r="B730" s="6"/>
      <c r="G730" s="12"/>
      <c r="H730" s="12"/>
      <c r="I730" s="12"/>
      <c r="J730" s="12"/>
      <c r="K730" s="12"/>
    </row>
    <row r="731" spans="1:11" ht="15.75" customHeight="1" x14ac:dyDescent="0.15">
      <c r="A731" s="6"/>
      <c r="B731" s="6"/>
      <c r="G731" s="12"/>
      <c r="H731" s="12"/>
      <c r="I731" s="12"/>
      <c r="J731" s="12"/>
      <c r="K731" s="12"/>
    </row>
    <row r="732" spans="1:11" ht="15.75" customHeight="1" x14ac:dyDescent="0.15">
      <c r="A732" s="6"/>
      <c r="B732" s="6"/>
      <c r="G732" s="12"/>
      <c r="H732" s="12"/>
      <c r="I732" s="12"/>
      <c r="J732" s="12"/>
      <c r="K732" s="12"/>
    </row>
    <row r="733" spans="1:11" ht="15.75" customHeight="1" x14ac:dyDescent="0.15">
      <c r="A733" s="6"/>
      <c r="B733" s="6"/>
      <c r="G733" s="12"/>
      <c r="H733" s="12"/>
      <c r="I733" s="12"/>
      <c r="J733" s="12"/>
      <c r="K733" s="12"/>
    </row>
    <row r="734" spans="1:11" ht="15.75" customHeight="1" x14ac:dyDescent="0.15">
      <c r="A734" s="6"/>
      <c r="B734" s="6"/>
      <c r="G734" s="12"/>
      <c r="H734" s="12"/>
      <c r="I734" s="12"/>
      <c r="J734" s="12"/>
      <c r="K734" s="12"/>
    </row>
    <row r="735" spans="1:11" ht="15.75" customHeight="1" x14ac:dyDescent="0.15">
      <c r="A735" s="6"/>
      <c r="B735" s="6"/>
      <c r="G735" s="12"/>
      <c r="H735" s="12"/>
      <c r="I735" s="12"/>
      <c r="J735" s="12"/>
      <c r="K735" s="12"/>
    </row>
    <row r="736" spans="1:11" ht="15.75" customHeight="1" x14ac:dyDescent="0.15">
      <c r="A736" s="6"/>
      <c r="B736" s="6"/>
      <c r="G736" s="12"/>
      <c r="H736" s="12"/>
      <c r="I736" s="12"/>
      <c r="J736" s="12"/>
      <c r="K736" s="12"/>
    </row>
    <row r="737" spans="1:11" ht="15.75" customHeight="1" x14ac:dyDescent="0.15">
      <c r="A737" s="6"/>
      <c r="B737" s="6"/>
      <c r="G737" s="12"/>
      <c r="H737" s="12"/>
      <c r="I737" s="12"/>
      <c r="J737" s="12"/>
      <c r="K737" s="12"/>
    </row>
    <row r="738" spans="1:11" ht="15.75" customHeight="1" x14ac:dyDescent="0.15">
      <c r="A738" s="6"/>
      <c r="B738" s="6"/>
      <c r="G738" s="12"/>
      <c r="H738" s="12"/>
      <c r="I738" s="12"/>
      <c r="J738" s="12"/>
      <c r="K738" s="12"/>
    </row>
    <row r="739" spans="1:11" ht="15.75" customHeight="1" x14ac:dyDescent="0.15">
      <c r="A739" s="6"/>
      <c r="B739" s="6"/>
      <c r="G739" s="12"/>
      <c r="H739" s="12"/>
      <c r="I739" s="12"/>
      <c r="J739" s="12"/>
      <c r="K739" s="12"/>
    </row>
    <row r="740" spans="1:11" ht="15.75" customHeight="1" x14ac:dyDescent="0.15">
      <c r="A740" s="6"/>
      <c r="B740" s="6"/>
      <c r="G740" s="12"/>
      <c r="H740" s="12"/>
      <c r="I740" s="12"/>
      <c r="J740" s="12"/>
      <c r="K740" s="12"/>
    </row>
    <row r="741" spans="1:11" ht="15.75" customHeight="1" x14ac:dyDescent="0.15">
      <c r="A741" s="6"/>
      <c r="B741" s="6"/>
      <c r="G741" s="12"/>
      <c r="H741" s="12"/>
      <c r="I741" s="12"/>
      <c r="J741" s="12"/>
      <c r="K741" s="12"/>
    </row>
    <row r="742" spans="1:11" ht="15.75" customHeight="1" x14ac:dyDescent="0.15">
      <c r="A742" s="6"/>
      <c r="B742" s="6"/>
      <c r="G742" s="12"/>
      <c r="H742" s="12"/>
      <c r="I742" s="12"/>
      <c r="J742" s="12"/>
      <c r="K742" s="12"/>
    </row>
    <row r="743" spans="1:11" ht="15.75" customHeight="1" x14ac:dyDescent="0.15">
      <c r="A743" s="6"/>
      <c r="B743" s="6"/>
      <c r="G743" s="12"/>
      <c r="H743" s="12"/>
      <c r="I743" s="12"/>
      <c r="J743" s="12"/>
      <c r="K743" s="12"/>
    </row>
    <row r="744" spans="1:11" ht="15.75" customHeight="1" x14ac:dyDescent="0.15">
      <c r="A744" s="6"/>
      <c r="B744" s="6"/>
      <c r="G744" s="12"/>
      <c r="H744" s="12"/>
      <c r="I744" s="12"/>
      <c r="J744" s="12"/>
      <c r="K744" s="12"/>
    </row>
    <row r="745" spans="1:11" ht="15.75" customHeight="1" x14ac:dyDescent="0.15">
      <c r="A745" s="6"/>
      <c r="B745" s="6"/>
      <c r="G745" s="12"/>
      <c r="H745" s="12"/>
      <c r="I745" s="12"/>
      <c r="J745" s="12"/>
      <c r="K745" s="12"/>
    </row>
    <row r="746" spans="1:11" ht="15.75" customHeight="1" x14ac:dyDescent="0.15">
      <c r="A746" s="6"/>
      <c r="B746" s="6"/>
      <c r="G746" s="12"/>
      <c r="H746" s="12"/>
      <c r="I746" s="12"/>
      <c r="J746" s="12"/>
      <c r="K746" s="12"/>
    </row>
    <row r="747" spans="1:11" ht="15.75" customHeight="1" x14ac:dyDescent="0.15">
      <c r="A747" s="6"/>
      <c r="B747" s="6"/>
      <c r="G747" s="12"/>
      <c r="H747" s="12"/>
      <c r="I747" s="12"/>
      <c r="J747" s="12"/>
      <c r="K747" s="12"/>
    </row>
    <row r="748" spans="1:11" ht="15.75" customHeight="1" x14ac:dyDescent="0.15">
      <c r="A748" s="6"/>
      <c r="B748" s="6"/>
      <c r="G748" s="12"/>
      <c r="H748" s="12"/>
      <c r="I748" s="12"/>
      <c r="J748" s="12"/>
      <c r="K748" s="12"/>
    </row>
    <row r="749" spans="1:11" ht="15.75" customHeight="1" x14ac:dyDescent="0.15">
      <c r="A749" s="6"/>
      <c r="B749" s="6"/>
      <c r="G749" s="12"/>
      <c r="H749" s="12"/>
      <c r="I749" s="12"/>
      <c r="J749" s="12"/>
      <c r="K749" s="12"/>
    </row>
    <row r="750" spans="1:11" ht="15.75" customHeight="1" x14ac:dyDescent="0.15">
      <c r="A750" s="6"/>
      <c r="B750" s="6"/>
      <c r="G750" s="12"/>
      <c r="H750" s="12"/>
      <c r="I750" s="12"/>
      <c r="J750" s="12"/>
      <c r="K750" s="12"/>
    </row>
    <row r="751" spans="1:11" ht="15.75" customHeight="1" x14ac:dyDescent="0.15">
      <c r="A751" s="6"/>
      <c r="B751" s="6"/>
      <c r="G751" s="12"/>
      <c r="H751" s="12"/>
      <c r="I751" s="12"/>
      <c r="J751" s="12"/>
      <c r="K751" s="12"/>
    </row>
    <row r="752" spans="1:11" ht="15.75" customHeight="1" x14ac:dyDescent="0.15">
      <c r="A752" s="6"/>
      <c r="B752" s="6"/>
      <c r="G752" s="12"/>
      <c r="H752" s="12"/>
      <c r="I752" s="12"/>
      <c r="J752" s="12"/>
      <c r="K752" s="12"/>
    </row>
    <row r="753" spans="1:11" ht="15.75" customHeight="1" x14ac:dyDescent="0.15">
      <c r="A753" s="6"/>
      <c r="B753" s="6"/>
      <c r="G753" s="12"/>
      <c r="H753" s="12"/>
      <c r="I753" s="12"/>
      <c r="J753" s="12"/>
      <c r="K753" s="12"/>
    </row>
    <row r="754" spans="1:11" ht="15.75" customHeight="1" x14ac:dyDescent="0.15">
      <c r="A754" s="6"/>
      <c r="B754" s="6"/>
      <c r="G754" s="12"/>
      <c r="H754" s="12"/>
      <c r="I754" s="12"/>
      <c r="J754" s="12"/>
      <c r="K754" s="12"/>
    </row>
    <row r="755" spans="1:11" ht="15.75" customHeight="1" x14ac:dyDescent="0.15">
      <c r="A755" s="6"/>
      <c r="B755" s="6"/>
      <c r="G755" s="12"/>
      <c r="H755" s="12"/>
      <c r="I755" s="12"/>
      <c r="J755" s="12"/>
      <c r="K755" s="12"/>
    </row>
    <row r="756" spans="1:11" ht="15.75" customHeight="1" x14ac:dyDescent="0.15">
      <c r="A756" s="6"/>
      <c r="B756" s="6"/>
      <c r="G756" s="12"/>
      <c r="H756" s="12"/>
      <c r="I756" s="12"/>
      <c r="J756" s="12"/>
      <c r="K756" s="12"/>
    </row>
    <row r="757" spans="1:11" ht="15.75" customHeight="1" x14ac:dyDescent="0.15">
      <c r="A757" s="6"/>
      <c r="B757" s="6"/>
      <c r="G757" s="12"/>
      <c r="H757" s="12"/>
      <c r="I757" s="12"/>
      <c r="J757" s="12"/>
      <c r="K757" s="12"/>
    </row>
    <row r="758" spans="1:11" ht="15.75" customHeight="1" x14ac:dyDescent="0.15">
      <c r="A758" s="6"/>
      <c r="B758" s="6"/>
      <c r="G758" s="12"/>
      <c r="H758" s="12"/>
      <c r="I758" s="12"/>
      <c r="J758" s="12"/>
      <c r="K758" s="12"/>
    </row>
    <row r="759" spans="1:11" ht="15.75" customHeight="1" x14ac:dyDescent="0.15">
      <c r="A759" s="6"/>
      <c r="B759" s="6"/>
      <c r="G759" s="12"/>
      <c r="H759" s="12"/>
      <c r="I759" s="12"/>
      <c r="J759" s="12"/>
      <c r="K759" s="12"/>
    </row>
    <row r="760" spans="1:11" ht="15.75" customHeight="1" x14ac:dyDescent="0.15">
      <c r="A760" s="6"/>
      <c r="B760" s="6"/>
      <c r="G760" s="12"/>
      <c r="H760" s="12"/>
      <c r="I760" s="12"/>
      <c r="J760" s="12"/>
      <c r="K760" s="12"/>
    </row>
    <row r="761" spans="1:11" ht="15.75" customHeight="1" x14ac:dyDescent="0.15">
      <c r="A761" s="6"/>
      <c r="B761" s="6"/>
      <c r="G761" s="12"/>
      <c r="H761" s="12"/>
      <c r="I761" s="12"/>
      <c r="J761" s="12"/>
      <c r="K761" s="12"/>
    </row>
    <row r="762" spans="1:11" ht="15.75" customHeight="1" x14ac:dyDescent="0.15">
      <c r="A762" s="6"/>
      <c r="B762" s="6"/>
      <c r="G762" s="12"/>
      <c r="H762" s="12"/>
      <c r="I762" s="12"/>
      <c r="J762" s="12"/>
      <c r="K762" s="12"/>
    </row>
    <row r="763" spans="1:11" ht="15.75" customHeight="1" x14ac:dyDescent="0.15">
      <c r="A763" s="6"/>
      <c r="B763" s="6"/>
      <c r="G763" s="12"/>
      <c r="H763" s="12"/>
      <c r="I763" s="12"/>
      <c r="J763" s="12"/>
      <c r="K763" s="12"/>
    </row>
    <row r="764" spans="1:11" ht="15.75" customHeight="1" x14ac:dyDescent="0.15">
      <c r="A764" s="6"/>
      <c r="B764" s="6"/>
      <c r="G764" s="12"/>
      <c r="H764" s="12"/>
      <c r="I764" s="12"/>
      <c r="J764" s="12"/>
      <c r="K764" s="12"/>
    </row>
    <row r="765" spans="1:11" ht="15.75" customHeight="1" x14ac:dyDescent="0.15">
      <c r="A765" s="6"/>
      <c r="B765" s="6"/>
      <c r="G765" s="12"/>
      <c r="H765" s="12"/>
      <c r="I765" s="12"/>
      <c r="J765" s="12"/>
      <c r="K765" s="12"/>
    </row>
    <row r="766" spans="1:11" ht="15.75" customHeight="1" x14ac:dyDescent="0.15">
      <c r="A766" s="6"/>
      <c r="B766" s="6"/>
      <c r="G766" s="12"/>
      <c r="H766" s="12"/>
      <c r="I766" s="12"/>
      <c r="J766" s="12"/>
      <c r="K766" s="12"/>
    </row>
    <row r="767" spans="1:11" ht="15.75" customHeight="1" x14ac:dyDescent="0.15">
      <c r="A767" s="6"/>
      <c r="B767" s="6"/>
      <c r="G767" s="12"/>
      <c r="H767" s="12"/>
      <c r="I767" s="12"/>
      <c r="J767" s="12"/>
      <c r="K767" s="12"/>
    </row>
    <row r="768" spans="1:11" ht="15.75" customHeight="1" x14ac:dyDescent="0.15">
      <c r="A768" s="6"/>
      <c r="B768" s="6"/>
      <c r="G768" s="12"/>
      <c r="H768" s="12"/>
      <c r="I768" s="12"/>
      <c r="J768" s="12"/>
      <c r="K768" s="12"/>
    </row>
    <row r="769" spans="1:11" ht="15.75" customHeight="1" x14ac:dyDescent="0.15">
      <c r="A769" s="6"/>
      <c r="B769" s="6"/>
      <c r="G769" s="12"/>
      <c r="H769" s="12"/>
      <c r="I769" s="12"/>
      <c r="J769" s="12"/>
      <c r="K769" s="12"/>
    </row>
    <row r="770" spans="1:11" ht="15.75" customHeight="1" x14ac:dyDescent="0.15">
      <c r="A770" s="6"/>
      <c r="B770" s="6"/>
      <c r="G770" s="12"/>
      <c r="H770" s="12"/>
      <c r="I770" s="12"/>
      <c r="J770" s="12"/>
      <c r="K770" s="12"/>
    </row>
    <row r="771" spans="1:11" ht="15.75" customHeight="1" x14ac:dyDescent="0.15">
      <c r="A771" s="6"/>
      <c r="B771" s="6"/>
      <c r="G771" s="12"/>
      <c r="H771" s="12"/>
      <c r="I771" s="12"/>
      <c r="J771" s="12"/>
      <c r="K771" s="12"/>
    </row>
    <row r="772" spans="1:11" ht="15.75" customHeight="1" x14ac:dyDescent="0.15">
      <c r="A772" s="6"/>
      <c r="B772" s="6"/>
      <c r="G772" s="12"/>
      <c r="H772" s="12"/>
      <c r="I772" s="12"/>
      <c r="J772" s="12"/>
      <c r="K772" s="12"/>
    </row>
    <row r="773" spans="1:11" ht="15.75" customHeight="1" x14ac:dyDescent="0.15">
      <c r="A773" s="6"/>
      <c r="B773" s="6"/>
      <c r="G773" s="12"/>
      <c r="H773" s="12"/>
      <c r="I773" s="12"/>
      <c r="J773" s="12"/>
      <c r="K773" s="12"/>
    </row>
    <row r="774" spans="1:11" ht="15.75" customHeight="1" x14ac:dyDescent="0.15">
      <c r="A774" s="6"/>
      <c r="B774" s="6"/>
      <c r="G774" s="12"/>
      <c r="H774" s="12"/>
      <c r="I774" s="12"/>
      <c r="J774" s="12"/>
      <c r="K774" s="12"/>
    </row>
    <row r="775" spans="1:11" ht="15.75" customHeight="1" x14ac:dyDescent="0.15">
      <c r="A775" s="6"/>
      <c r="B775" s="6"/>
      <c r="G775" s="12"/>
      <c r="H775" s="12"/>
      <c r="I775" s="12"/>
      <c r="J775" s="12"/>
      <c r="K775" s="12"/>
    </row>
    <row r="776" spans="1:11" ht="15.75" customHeight="1" x14ac:dyDescent="0.15">
      <c r="A776" s="6"/>
      <c r="B776" s="6"/>
      <c r="G776" s="12"/>
      <c r="H776" s="12"/>
      <c r="I776" s="12"/>
      <c r="J776" s="12"/>
      <c r="K776" s="12"/>
    </row>
    <row r="777" spans="1:11" ht="15.75" customHeight="1" x14ac:dyDescent="0.15">
      <c r="A777" s="6"/>
      <c r="B777" s="6"/>
      <c r="G777" s="12"/>
      <c r="H777" s="12"/>
      <c r="I777" s="12"/>
      <c r="J777" s="12"/>
      <c r="K777" s="12"/>
    </row>
    <row r="778" spans="1:11" ht="15.75" customHeight="1" x14ac:dyDescent="0.15">
      <c r="A778" s="6"/>
      <c r="B778" s="6"/>
      <c r="G778" s="12"/>
      <c r="H778" s="12"/>
      <c r="I778" s="12"/>
      <c r="J778" s="12"/>
      <c r="K778" s="12"/>
    </row>
    <row r="779" spans="1:11" ht="15.75" customHeight="1" x14ac:dyDescent="0.15">
      <c r="A779" s="6"/>
      <c r="B779" s="6"/>
      <c r="G779" s="12"/>
      <c r="H779" s="12"/>
      <c r="I779" s="12"/>
      <c r="J779" s="12"/>
      <c r="K779" s="12"/>
    </row>
    <row r="780" spans="1:11" ht="15.75" customHeight="1" x14ac:dyDescent="0.15">
      <c r="A780" s="6"/>
      <c r="B780" s="6"/>
      <c r="G780" s="12"/>
      <c r="H780" s="12"/>
      <c r="I780" s="12"/>
      <c r="J780" s="12"/>
      <c r="K780" s="12"/>
    </row>
    <row r="781" spans="1:11" ht="15.75" customHeight="1" x14ac:dyDescent="0.15">
      <c r="A781" s="6"/>
      <c r="B781" s="6"/>
      <c r="G781" s="12"/>
      <c r="H781" s="12"/>
      <c r="I781" s="12"/>
      <c r="J781" s="12"/>
      <c r="K781" s="12"/>
    </row>
    <row r="782" spans="1:11" ht="15.75" customHeight="1" x14ac:dyDescent="0.15">
      <c r="A782" s="6"/>
      <c r="B782" s="6"/>
      <c r="G782" s="12"/>
      <c r="H782" s="12"/>
      <c r="I782" s="12"/>
      <c r="J782" s="12"/>
      <c r="K782" s="12"/>
    </row>
    <row r="783" spans="1:11" ht="15.75" customHeight="1" x14ac:dyDescent="0.15">
      <c r="A783" s="6"/>
      <c r="B783" s="6"/>
      <c r="G783" s="12"/>
      <c r="H783" s="12"/>
      <c r="I783" s="12"/>
      <c r="J783" s="12"/>
      <c r="K783" s="12"/>
    </row>
    <row r="784" spans="1:11" ht="15.75" customHeight="1" x14ac:dyDescent="0.15">
      <c r="A784" s="6"/>
      <c r="B784" s="6"/>
      <c r="G784" s="12"/>
      <c r="H784" s="12"/>
      <c r="I784" s="12"/>
      <c r="J784" s="12"/>
      <c r="K784" s="12"/>
    </row>
    <row r="785" spans="1:11" ht="15.75" customHeight="1" x14ac:dyDescent="0.15">
      <c r="A785" s="6"/>
      <c r="B785" s="6"/>
      <c r="G785" s="12"/>
      <c r="H785" s="12"/>
      <c r="I785" s="12"/>
      <c r="J785" s="12"/>
      <c r="K785" s="12"/>
    </row>
    <row r="786" spans="1:11" ht="15.75" customHeight="1" x14ac:dyDescent="0.15">
      <c r="A786" s="6"/>
      <c r="B786" s="6"/>
      <c r="G786" s="12"/>
      <c r="H786" s="12"/>
      <c r="I786" s="12"/>
      <c r="J786" s="12"/>
      <c r="K786" s="12"/>
    </row>
    <row r="787" spans="1:11" ht="15.75" customHeight="1" x14ac:dyDescent="0.15">
      <c r="A787" s="6"/>
      <c r="B787" s="6"/>
      <c r="G787" s="12"/>
      <c r="H787" s="12"/>
      <c r="I787" s="12"/>
      <c r="J787" s="12"/>
      <c r="K787" s="12"/>
    </row>
    <row r="788" spans="1:11" ht="15.75" customHeight="1" x14ac:dyDescent="0.15">
      <c r="A788" s="6"/>
      <c r="B788" s="6"/>
      <c r="G788" s="12"/>
      <c r="H788" s="12"/>
      <c r="I788" s="12"/>
      <c r="J788" s="12"/>
      <c r="K788" s="12"/>
    </row>
    <row r="789" spans="1:11" ht="15.75" customHeight="1" x14ac:dyDescent="0.15">
      <c r="A789" s="6"/>
      <c r="B789" s="6"/>
      <c r="G789" s="12"/>
      <c r="H789" s="12"/>
      <c r="I789" s="12"/>
      <c r="J789" s="12"/>
      <c r="K789" s="12"/>
    </row>
    <row r="790" spans="1:11" ht="15.75" customHeight="1" x14ac:dyDescent="0.15">
      <c r="A790" s="6"/>
      <c r="B790" s="6"/>
      <c r="G790" s="12"/>
      <c r="H790" s="12"/>
      <c r="I790" s="12"/>
      <c r="J790" s="12"/>
      <c r="K790" s="12"/>
    </row>
    <row r="791" spans="1:11" ht="15.75" customHeight="1" x14ac:dyDescent="0.15">
      <c r="A791" s="6"/>
      <c r="B791" s="6"/>
      <c r="G791" s="12"/>
      <c r="H791" s="12"/>
      <c r="I791" s="12"/>
      <c r="J791" s="12"/>
      <c r="K791" s="12"/>
    </row>
    <row r="792" spans="1:11" ht="15.75" customHeight="1" x14ac:dyDescent="0.15">
      <c r="A792" s="6"/>
      <c r="B792" s="6"/>
      <c r="G792" s="12"/>
      <c r="H792" s="12"/>
      <c r="I792" s="12"/>
      <c r="J792" s="12"/>
      <c r="K792" s="12"/>
    </row>
    <row r="793" spans="1:11" ht="15.75" customHeight="1" x14ac:dyDescent="0.15">
      <c r="A793" s="6"/>
      <c r="B793" s="6"/>
      <c r="G793" s="12"/>
      <c r="H793" s="12"/>
      <c r="I793" s="12"/>
      <c r="J793" s="12"/>
      <c r="K793" s="12"/>
    </row>
    <row r="794" spans="1:11" ht="15.75" customHeight="1" x14ac:dyDescent="0.15">
      <c r="A794" s="6"/>
      <c r="B794" s="6"/>
      <c r="G794" s="12"/>
      <c r="H794" s="12"/>
      <c r="I794" s="12"/>
      <c r="J794" s="12"/>
      <c r="K794" s="12"/>
    </row>
    <row r="795" spans="1:11" ht="15.75" customHeight="1" x14ac:dyDescent="0.15">
      <c r="A795" s="6"/>
      <c r="B795" s="6"/>
      <c r="G795" s="12"/>
      <c r="H795" s="12"/>
      <c r="I795" s="12"/>
      <c r="J795" s="12"/>
      <c r="K795" s="12"/>
    </row>
    <row r="796" spans="1:11" ht="15.75" customHeight="1" x14ac:dyDescent="0.15">
      <c r="A796" s="6"/>
      <c r="B796" s="6"/>
      <c r="G796" s="12"/>
      <c r="H796" s="12"/>
      <c r="I796" s="12"/>
      <c r="J796" s="12"/>
      <c r="K796" s="12"/>
    </row>
    <row r="797" spans="1:11" ht="15.75" customHeight="1" x14ac:dyDescent="0.15">
      <c r="A797" s="6"/>
      <c r="B797" s="6"/>
      <c r="G797" s="12"/>
      <c r="H797" s="12"/>
      <c r="I797" s="12"/>
      <c r="J797" s="12"/>
      <c r="K797" s="12"/>
    </row>
    <row r="798" spans="1:11" ht="15.75" customHeight="1" x14ac:dyDescent="0.15">
      <c r="A798" s="6"/>
      <c r="B798" s="6"/>
      <c r="G798" s="12"/>
      <c r="H798" s="12"/>
      <c r="I798" s="12"/>
      <c r="J798" s="12"/>
      <c r="K798" s="12"/>
    </row>
    <row r="799" spans="1:11" ht="15.75" customHeight="1" x14ac:dyDescent="0.15">
      <c r="A799" s="6"/>
      <c r="B799" s="6"/>
      <c r="G799" s="12"/>
      <c r="H799" s="12"/>
      <c r="I799" s="12"/>
      <c r="J799" s="12"/>
      <c r="K799" s="12"/>
    </row>
    <row r="800" spans="1:11" ht="15.75" customHeight="1" x14ac:dyDescent="0.15">
      <c r="A800" s="6"/>
      <c r="B800" s="6"/>
      <c r="G800" s="12"/>
      <c r="H800" s="12"/>
      <c r="I800" s="12"/>
      <c r="J800" s="12"/>
      <c r="K800" s="12"/>
    </row>
    <row r="801" spans="1:11" ht="15.75" customHeight="1" x14ac:dyDescent="0.15">
      <c r="A801" s="6"/>
      <c r="B801" s="6"/>
      <c r="G801" s="12"/>
      <c r="H801" s="12"/>
      <c r="I801" s="12"/>
      <c r="J801" s="12"/>
      <c r="K801" s="12"/>
    </row>
    <row r="802" spans="1:11" ht="15.75" customHeight="1" x14ac:dyDescent="0.15">
      <c r="A802" s="6"/>
      <c r="B802" s="6"/>
      <c r="G802" s="12"/>
      <c r="H802" s="12"/>
      <c r="I802" s="12"/>
      <c r="J802" s="12"/>
      <c r="K802" s="12"/>
    </row>
    <row r="803" spans="1:11" ht="15.75" customHeight="1" x14ac:dyDescent="0.15">
      <c r="A803" s="6"/>
      <c r="B803" s="6"/>
      <c r="G803" s="12"/>
      <c r="H803" s="12"/>
      <c r="I803" s="12"/>
      <c r="J803" s="12"/>
      <c r="K803" s="12"/>
    </row>
    <row r="804" spans="1:11" ht="15.75" customHeight="1" x14ac:dyDescent="0.15">
      <c r="A804" s="6"/>
      <c r="B804" s="6"/>
      <c r="G804" s="12"/>
      <c r="H804" s="12"/>
      <c r="I804" s="12"/>
      <c r="J804" s="12"/>
      <c r="K804" s="12"/>
    </row>
    <row r="805" spans="1:11" ht="15.75" customHeight="1" x14ac:dyDescent="0.15">
      <c r="A805" s="6"/>
      <c r="B805" s="6"/>
      <c r="G805" s="12"/>
      <c r="H805" s="12"/>
      <c r="I805" s="12"/>
      <c r="J805" s="12"/>
      <c r="K805" s="12"/>
    </row>
    <row r="806" spans="1:11" ht="15.75" customHeight="1" x14ac:dyDescent="0.15">
      <c r="A806" s="6"/>
      <c r="B806" s="6"/>
      <c r="G806" s="12"/>
      <c r="H806" s="12"/>
      <c r="I806" s="12"/>
      <c r="J806" s="12"/>
      <c r="K806" s="12"/>
    </row>
    <row r="807" spans="1:11" ht="15.75" customHeight="1" x14ac:dyDescent="0.15">
      <c r="A807" s="6"/>
      <c r="B807" s="6"/>
      <c r="G807" s="12"/>
      <c r="H807" s="12"/>
      <c r="I807" s="12"/>
      <c r="J807" s="12"/>
      <c r="K807" s="12"/>
    </row>
    <row r="808" spans="1:11" ht="15.75" customHeight="1" x14ac:dyDescent="0.15">
      <c r="A808" s="6"/>
      <c r="B808" s="6"/>
      <c r="G808" s="12"/>
      <c r="H808" s="12"/>
      <c r="I808" s="12"/>
      <c r="J808" s="12"/>
      <c r="K808" s="12"/>
    </row>
    <row r="809" spans="1:11" ht="15.75" customHeight="1" x14ac:dyDescent="0.15">
      <c r="A809" s="6"/>
      <c r="B809" s="6"/>
      <c r="G809" s="12"/>
      <c r="H809" s="12"/>
      <c r="I809" s="12"/>
      <c r="J809" s="12"/>
      <c r="K809" s="12"/>
    </row>
    <row r="810" spans="1:11" ht="15.75" customHeight="1" x14ac:dyDescent="0.15">
      <c r="A810" s="6"/>
      <c r="B810" s="6"/>
      <c r="G810" s="12"/>
      <c r="H810" s="12"/>
      <c r="I810" s="12"/>
      <c r="J810" s="12"/>
      <c r="K810" s="12"/>
    </row>
    <row r="811" spans="1:11" ht="15.75" customHeight="1" x14ac:dyDescent="0.15">
      <c r="A811" s="6"/>
      <c r="B811" s="6"/>
      <c r="G811" s="12"/>
      <c r="H811" s="12"/>
      <c r="I811" s="12"/>
      <c r="J811" s="12"/>
      <c r="K811" s="12"/>
    </row>
    <row r="812" spans="1:11" ht="15.75" customHeight="1" x14ac:dyDescent="0.15">
      <c r="A812" s="6"/>
      <c r="B812" s="6"/>
      <c r="G812" s="12"/>
      <c r="H812" s="12"/>
      <c r="I812" s="12"/>
      <c r="J812" s="12"/>
      <c r="K812" s="12"/>
    </row>
    <row r="813" spans="1:11" ht="15.75" customHeight="1" x14ac:dyDescent="0.15">
      <c r="A813" s="6"/>
      <c r="B813" s="6"/>
      <c r="G813" s="12"/>
      <c r="H813" s="12"/>
      <c r="I813" s="12"/>
      <c r="J813" s="12"/>
      <c r="K813" s="12"/>
    </row>
    <row r="814" spans="1:11" ht="15.75" customHeight="1" x14ac:dyDescent="0.15">
      <c r="A814" s="6"/>
      <c r="B814" s="6"/>
      <c r="G814" s="12"/>
      <c r="H814" s="12"/>
      <c r="I814" s="12"/>
      <c r="J814" s="12"/>
      <c r="K814" s="12"/>
    </row>
    <row r="815" spans="1:11" ht="15.75" customHeight="1" x14ac:dyDescent="0.15">
      <c r="A815" s="6"/>
      <c r="B815" s="6"/>
      <c r="G815" s="12"/>
      <c r="H815" s="12"/>
      <c r="I815" s="12"/>
      <c r="J815" s="12"/>
      <c r="K815" s="12"/>
    </row>
    <row r="816" spans="1:11" ht="15.75" customHeight="1" x14ac:dyDescent="0.15">
      <c r="A816" s="6"/>
      <c r="B816" s="6"/>
      <c r="G816" s="12"/>
      <c r="H816" s="12"/>
      <c r="I816" s="12"/>
      <c r="J816" s="12"/>
      <c r="K816" s="12"/>
    </row>
    <row r="817" spans="1:11" ht="15.75" customHeight="1" x14ac:dyDescent="0.15">
      <c r="A817" s="6"/>
      <c r="B817" s="6"/>
      <c r="G817" s="12"/>
      <c r="H817" s="12"/>
      <c r="I817" s="12"/>
      <c r="J817" s="12"/>
      <c r="K817" s="12"/>
    </row>
    <row r="818" spans="1:11" ht="15.75" customHeight="1" x14ac:dyDescent="0.15">
      <c r="A818" s="6"/>
      <c r="B818" s="6"/>
      <c r="G818" s="12"/>
      <c r="H818" s="12"/>
      <c r="I818" s="12"/>
      <c r="J818" s="12"/>
      <c r="K818" s="12"/>
    </row>
    <row r="819" spans="1:11" ht="15.75" customHeight="1" x14ac:dyDescent="0.15">
      <c r="A819" s="6"/>
      <c r="B819" s="6"/>
      <c r="G819" s="12"/>
      <c r="H819" s="12"/>
      <c r="I819" s="12"/>
      <c r="J819" s="12"/>
      <c r="K819" s="12"/>
    </row>
    <row r="820" spans="1:11" ht="15.75" customHeight="1" x14ac:dyDescent="0.15">
      <c r="A820" s="6"/>
      <c r="B820" s="6"/>
      <c r="G820" s="12"/>
      <c r="H820" s="12"/>
      <c r="I820" s="12"/>
      <c r="J820" s="12"/>
      <c r="K820" s="12"/>
    </row>
    <row r="821" spans="1:11" ht="15.75" customHeight="1" x14ac:dyDescent="0.15">
      <c r="A821" s="6"/>
      <c r="B821" s="6"/>
      <c r="G821" s="12"/>
      <c r="H821" s="12"/>
      <c r="I821" s="12"/>
      <c r="J821" s="12"/>
      <c r="K821" s="12"/>
    </row>
    <row r="822" spans="1:11" ht="15.75" customHeight="1" x14ac:dyDescent="0.15">
      <c r="A822" s="6"/>
      <c r="B822" s="6"/>
      <c r="G822" s="12"/>
      <c r="H822" s="12"/>
      <c r="I822" s="12"/>
      <c r="J822" s="12"/>
      <c r="K822" s="12"/>
    </row>
    <row r="823" spans="1:11" ht="15.75" customHeight="1" x14ac:dyDescent="0.15">
      <c r="A823" s="6"/>
      <c r="B823" s="6"/>
      <c r="G823" s="12"/>
      <c r="H823" s="12"/>
      <c r="I823" s="12"/>
      <c r="J823" s="12"/>
      <c r="K823" s="12"/>
    </row>
    <row r="824" spans="1:11" ht="15.75" customHeight="1" x14ac:dyDescent="0.15">
      <c r="A824" s="6"/>
      <c r="B824" s="6"/>
      <c r="G824" s="12"/>
      <c r="H824" s="12"/>
      <c r="I824" s="12"/>
      <c r="J824" s="12"/>
      <c r="K824" s="12"/>
    </row>
    <row r="825" spans="1:11" ht="15.75" customHeight="1" x14ac:dyDescent="0.15">
      <c r="A825" s="6"/>
      <c r="B825" s="6"/>
      <c r="G825" s="12"/>
      <c r="H825" s="12"/>
      <c r="I825" s="12"/>
      <c r="J825" s="12"/>
      <c r="K825" s="12"/>
    </row>
    <row r="826" spans="1:11" ht="15.75" customHeight="1" x14ac:dyDescent="0.15">
      <c r="A826" s="6"/>
      <c r="B826" s="6"/>
      <c r="G826" s="12"/>
      <c r="H826" s="12"/>
      <c r="I826" s="12"/>
      <c r="J826" s="12"/>
      <c r="K826" s="12"/>
    </row>
    <row r="827" spans="1:11" ht="15.75" customHeight="1" x14ac:dyDescent="0.15">
      <c r="A827" s="6"/>
      <c r="B827" s="6"/>
      <c r="G827" s="12"/>
      <c r="H827" s="12"/>
      <c r="I827" s="12"/>
      <c r="J827" s="12"/>
      <c r="K827" s="12"/>
    </row>
    <row r="828" spans="1:11" ht="15.75" customHeight="1" x14ac:dyDescent="0.15">
      <c r="A828" s="6"/>
      <c r="B828" s="6"/>
      <c r="G828" s="12"/>
      <c r="H828" s="12"/>
      <c r="I828" s="12"/>
      <c r="J828" s="12"/>
      <c r="K828" s="12"/>
    </row>
    <row r="829" spans="1:11" ht="15.75" customHeight="1" x14ac:dyDescent="0.15">
      <c r="A829" s="6"/>
      <c r="B829" s="6"/>
      <c r="G829" s="12"/>
      <c r="H829" s="12"/>
      <c r="I829" s="12"/>
      <c r="J829" s="12"/>
      <c r="K829" s="12"/>
    </row>
    <row r="830" spans="1:11" ht="15.75" customHeight="1" x14ac:dyDescent="0.15">
      <c r="A830" s="6"/>
      <c r="B830" s="6"/>
      <c r="G830" s="12"/>
      <c r="H830" s="12"/>
      <c r="I830" s="12"/>
      <c r="J830" s="12"/>
      <c r="K830" s="12"/>
    </row>
    <row r="831" spans="1:11" ht="15.75" customHeight="1" x14ac:dyDescent="0.15">
      <c r="A831" s="6"/>
      <c r="B831" s="6"/>
      <c r="G831" s="12"/>
      <c r="H831" s="12"/>
      <c r="I831" s="12"/>
      <c r="J831" s="12"/>
      <c r="K831" s="12"/>
    </row>
    <row r="832" spans="1:11" ht="15.75" customHeight="1" x14ac:dyDescent="0.15">
      <c r="A832" s="6"/>
      <c r="B832" s="6"/>
      <c r="G832" s="12"/>
      <c r="H832" s="12"/>
      <c r="I832" s="12"/>
      <c r="J832" s="12"/>
      <c r="K832" s="12"/>
    </row>
    <row r="833" spans="1:11" ht="15.75" customHeight="1" x14ac:dyDescent="0.15">
      <c r="A833" s="6"/>
      <c r="B833" s="6"/>
      <c r="G833" s="12"/>
      <c r="H833" s="12"/>
      <c r="I833" s="12"/>
      <c r="J833" s="12"/>
      <c r="K833" s="12"/>
    </row>
    <row r="834" spans="1:11" ht="15.75" customHeight="1" x14ac:dyDescent="0.15">
      <c r="A834" s="6"/>
      <c r="B834" s="6"/>
      <c r="G834" s="12"/>
      <c r="H834" s="12"/>
      <c r="I834" s="12"/>
      <c r="J834" s="12"/>
      <c r="K834" s="12"/>
    </row>
    <row r="835" spans="1:11" ht="15.75" customHeight="1" x14ac:dyDescent="0.15">
      <c r="A835" s="6"/>
      <c r="B835" s="6"/>
      <c r="G835" s="12"/>
      <c r="H835" s="12"/>
      <c r="I835" s="12"/>
      <c r="J835" s="12"/>
      <c r="K835" s="12"/>
    </row>
    <row r="836" spans="1:11" ht="15.75" customHeight="1" x14ac:dyDescent="0.15">
      <c r="A836" s="6"/>
      <c r="B836" s="6"/>
      <c r="G836" s="12"/>
      <c r="H836" s="12"/>
      <c r="I836" s="12"/>
      <c r="J836" s="12"/>
      <c r="K836" s="12"/>
    </row>
    <row r="837" spans="1:11" ht="15.75" customHeight="1" x14ac:dyDescent="0.15">
      <c r="A837" s="6"/>
      <c r="B837" s="6"/>
      <c r="G837" s="12"/>
      <c r="H837" s="12"/>
      <c r="I837" s="12"/>
      <c r="J837" s="12"/>
      <c r="K837" s="12"/>
    </row>
    <row r="838" spans="1:11" ht="15.75" customHeight="1" x14ac:dyDescent="0.15">
      <c r="A838" s="6"/>
      <c r="B838" s="6"/>
      <c r="G838" s="12"/>
      <c r="H838" s="12"/>
      <c r="I838" s="12"/>
      <c r="J838" s="12"/>
      <c r="K838" s="12"/>
    </row>
    <row r="839" spans="1:11" ht="15.75" customHeight="1" x14ac:dyDescent="0.15">
      <c r="A839" s="6"/>
      <c r="B839" s="6"/>
      <c r="G839" s="12"/>
      <c r="H839" s="12"/>
      <c r="I839" s="12"/>
      <c r="J839" s="12"/>
      <c r="K839" s="12"/>
    </row>
    <row r="840" spans="1:11" ht="15.75" customHeight="1" x14ac:dyDescent="0.15">
      <c r="A840" s="6"/>
      <c r="B840" s="6"/>
      <c r="G840" s="12"/>
      <c r="H840" s="12"/>
      <c r="I840" s="12"/>
      <c r="J840" s="12"/>
      <c r="K840" s="12"/>
    </row>
    <row r="841" spans="1:11" ht="15.75" customHeight="1" x14ac:dyDescent="0.15">
      <c r="A841" s="6"/>
      <c r="B841" s="6"/>
      <c r="G841" s="12"/>
      <c r="H841" s="12"/>
      <c r="I841" s="12"/>
      <c r="J841" s="12"/>
      <c r="K841" s="12"/>
    </row>
    <row r="842" spans="1:11" ht="15.75" customHeight="1" x14ac:dyDescent="0.15">
      <c r="A842" s="6"/>
      <c r="B842" s="6"/>
      <c r="G842" s="12"/>
      <c r="H842" s="12"/>
      <c r="I842" s="12"/>
      <c r="J842" s="12"/>
      <c r="K842" s="12"/>
    </row>
    <row r="843" spans="1:11" ht="15.75" customHeight="1" x14ac:dyDescent="0.15">
      <c r="A843" s="6"/>
      <c r="B843" s="6"/>
      <c r="G843" s="12"/>
      <c r="H843" s="12"/>
      <c r="I843" s="12"/>
      <c r="J843" s="12"/>
      <c r="K843" s="12"/>
    </row>
    <row r="844" spans="1:11" ht="15.75" customHeight="1" x14ac:dyDescent="0.15"/>
    <row r="845" spans="1:11" ht="15.75" customHeight="1" x14ac:dyDescent="0.15"/>
    <row r="846" spans="1:11" ht="15.75" customHeight="1" x14ac:dyDescent="0.15"/>
    <row r="847" spans="1:11" ht="15.75" customHeight="1" x14ac:dyDescent="0.15"/>
    <row r="848" spans="1:11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C1:F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D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X37" sqref="AX37"/>
    </sheetView>
  </sheetViews>
  <sheetFormatPr baseColWidth="10" defaultColWidth="12.6640625" defaultRowHeight="15" customHeight="1" x14ac:dyDescent="0.15"/>
  <cols>
    <col min="1" max="6" width="12.6640625" customWidth="1"/>
    <col min="29" max="29" width="1.5" customWidth="1"/>
  </cols>
  <sheetData>
    <row r="1" spans="1:56" ht="15.75" customHeight="1" x14ac:dyDescent="0.15">
      <c r="A1" s="24" t="s">
        <v>1</v>
      </c>
      <c r="B1" s="59">
        <v>0.41666666666666669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60" t="s">
        <v>29</v>
      </c>
      <c r="AA1" s="56"/>
      <c r="AB1" s="56"/>
      <c r="AC1" s="61"/>
      <c r="AD1" s="62">
        <v>0.58333333333333337</v>
      </c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60" t="s">
        <v>29</v>
      </c>
      <c r="BC1" s="56"/>
      <c r="BD1" s="56"/>
    </row>
    <row r="2" spans="1:56" ht="15.75" customHeight="1" x14ac:dyDescent="0.15">
      <c r="A2" s="24"/>
      <c r="B2" s="58" t="s">
        <v>19</v>
      </c>
      <c r="C2" s="54"/>
      <c r="D2" s="54"/>
      <c r="E2" s="54"/>
      <c r="F2" s="63" t="s">
        <v>30</v>
      </c>
      <c r="G2" s="54"/>
      <c r="H2" s="54"/>
      <c r="I2" s="54"/>
      <c r="J2" s="64" t="s">
        <v>31</v>
      </c>
      <c r="K2" s="54"/>
      <c r="L2" s="54"/>
      <c r="M2" s="54"/>
      <c r="N2" s="65" t="s">
        <v>32</v>
      </c>
      <c r="O2" s="54"/>
      <c r="P2" s="54"/>
      <c r="Q2" s="54"/>
      <c r="R2" s="66" t="s">
        <v>33</v>
      </c>
      <c r="S2" s="54"/>
      <c r="T2" s="54"/>
      <c r="U2" s="54"/>
      <c r="V2" s="67" t="s">
        <v>34</v>
      </c>
      <c r="W2" s="54"/>
      <c r="X2" s="54"/>
      <c r="Y2" s="54"/>
      <c r="Z2" s="57" t="s">
        <v>35</v>
      </c>
      <c r="AA2" s="57" t="s">
        <v>36</v>
      </c>
      <c r="AB2" s="57" t="s">
        <v>37</v>
      </c>
      <c r="AC2" s="56"/>
      <c r="AD2" s="58" t="s">
        <v>19</v>
      </c>
      <c r="AE2" s="54"/>
      <c r="AF2" s="54"/>
      <c r="AG2" s="54"/>
      <c r="AH2" s="63" t="s">
        <v>30</v>
      </c>
      <c r="AI2" s="54"/>
      <c r="AJ2" s="54"/>
      <c r="AK2" s="54"/>
      <c r="AL2" s="64" t="s">
        <v>31</v>
      </c>
      <c r="AM2" s="54"/>
      <c r="AN2" s="54"/>
      <c r="AO2" s="54"/>
      <c r="AP2" s="65" t="s">
        <v>32</v>
      </c>
      <c r="AQ2" s="54"/>
      <c r="AR2" s="54"/>
      <c r="AS2" s="54"/>
      <c r="AT2" s="66" t="s">
        <v>33</v>
      </c>
      <c r="AU2" s="54"/>
      <c r="AV2" s="54"/>
      <c r="AW2" s="54"/>
      <c r="AX2" s="67" t="s">
        <v>34</v>
      </c>
      <c r="AY2" s="54"/>
      <c r="AZ2" s="54"/>
      <c r="BA2" s="54"/>
      <c r="BB2" s="57" t="s">
        <v>35</v>
      </c>
      <c r="BC2" s="57" t="s">
        <v>36</v>
      </c>
      <c r="BD2" s="57" t="s">
        <v>37</v>
      </c>
    </row>
    <row r="3" spans="1:56" ht="15.75" customHeight="1" x14ac:dyDescent="0.15">
      <c r="A3" s="24"/>
      <c r="B3" s="25" t="s">
        <v>21</v>
      </c>
      <c r="C3" s="25" t="s">
        <v>22</v>
      </c>
      <c r="D3" s="25" t="s">
        <v>23</v>
      </c>
      <c r="E3" s="25" t="s">
        <v>24</v>
      </c>
      <c r="F3" s="25" t="s">
        <v>21</v>
      </c>
      <c r="G3" s="25" t="s">
        <v>22</v>
      </c>
      <c r="H3" s="25" t="s">
        <v>23</v>
      </c>
      <c r="I3" s="25" t="s">
        <v>24</v>
      </c>
      <c r="J3" s="25" t="s">
        <v>21</v>
      </c>
      <c r="K3" s="25" t="s">
        <v>22</v>
      </c>
      <c r="L3" s="25" t="s">
        <v>23</v>
      </c>
      <c r="M3" s="25" t="s">
        <v>24</v>
      </c>
      <c r="N3" s="25" t="s">
        <v>21</v>
      </c>
      <c r="O3" s="25" t="s">
        <v>22</v>
      </c>
      <c r="P3" s="25" t="s">
        <v>23</v>
      </c>
      <c r="Q3" s="25" t="s">
        <v>24</v>
      </c>
      <c r="R3" s="25" t="s">
        <v>21</v>
      </c>
      <c r="S3" s="25" t="s">
        <v>22</v>
      </c>
      <c r="T3" s="25" t="s">
        <v>23</v>
      </c>
      <c r="U3" s="25" t="s">
        <v>24</v>
      </c>
      <c r="V3" s="25" t="s">
        <v>21</v>
      </c>
      <c r="W3" s="25" t="s">
        <v>22</v>
      </c>
      <c r="X3" s="25" t="s">
        <v>23</v>
      </c>
      <c r="Y3" s="25" t="s">
        <v>24</v>
      </c>
      <c r="Z3" s="52"/>
      <c r="AA3" s="52"/>
      <c r="AB3" s="52"/>
      <c r="AC3" s="56"/>
      <c r="AD3" s="25" t="s">
        <v>21</v>
      </c>
      <c r="AE3" s="25" t="s">
        <v>22</v>
      </c>
      <c r="AF3" s="25" t="s">
        <v>23</v>
      </c>
      <c r="AG3" s="25" t="s">
        <v>24</v>
      </c>
      <c r="AH3" s="25" t="s">
        <v>21</v>
      </c>
      <c r="AI3" s="25" t="s">
        <v>22</v>
      </c>
      <c r="AJ3" s="25" t="s">
        <v>23</v>
      </c>
      <c r="AK3" s="25" t="s">
        <v>24</v>
      </c>
      <c r="AL3" s="25" t="s">
        <v>21</v>
      </c>
      <c r="AM3" s="25" t="s">
        <v>22</v>
      </c>
      <c r="AN3" s="25" t="s">
        <v>23</v>
      </c>
      <c r="AO3" s="25" t="s">
        <v>24</v>
      </c>
      <c r="AP3" s="25" t="s">
        <v>21</v>
      </c>
      <c r="AQ3" s="25" t="s">
        <v>22</v>
      </c>
      <c r="AR3" s="25" t="s">
        <v>23</v>
      </c>
      <c r="AS3" s="25" t="s">
        <v>24</v>
      </c>
      <c r="AT3" s="25" t="s">
        <v>21</v>
      </c>
      <c r="AU3" s="25" t="s">
        <v>22</v>
      </c>
      <c r="AV3" s="25" t="s">
        <v>23</v>
      </c>
      <c r="AW3" s="25" t="s">
        <v>24</v>
      </c>
      <c r="AX3" s="25" t="s">
        <v>21</v>
      </c>
      <c r="AY3" s="25" t="s">
        <v>22</v>
      </c>
      <c r="AZ3" s="25" t="s">
        <v>23</v>
      </c>
      <c r="BA3" s="25" t="s">
        <v>24</v>
      </c>
      <c r="BB3" s="52"/>
      <c r="BC3" s="52"/>
      <c r="BD3" s="52"/>
    </row>
    <row r="4" spans="1:56" ht="15.75" customHeight="1" x14ac:dyDescent="0.15">
      <c r="A4" s="26">
        <v>45568</v>
      </c>
      <c r="B4" s="25" t="s">
        <v>38</v>
      </c>
      <c r="C4" s="25" t="s">
        <v>38</v>
      </c>
      <c r="D4" s="25" t="s">
        <v>38</v>
      </c>
      <c r="E4" s="25" t="s">
        <v>38</v>
      </c>
      <c r="F4" s="25" t="s">
        <v>38</v>
      </c>
      <c r="G4" s="25" t="s">
        <v>38</v>
      </c>
      <c r="H4" s="25" t="s">
        <v>38</v>
      </c>
      <c r="I4" s="25" t="s">
        <v>38</v>
      </c>
      <c r="J4" s="25" t="s">
        <v>38</v>
      </c>
      <c r="K4" s="25" t="s">
        <v>38</v>
      </c>
      <c r="L4" s="25" t="s">
        <v>38</v>
      </c>
      <c r="M4" s="25" t="s">
        <v>38</v>
      </c>
      <c r="N4" s="25" t="s">
        <v>38</v>
      </c>
      <c r="O4" s="25" t="s">
        <v>38</v>
      </c>
      <c r="P4" s="25" t="s">
        <v>38</v>
      </c>
      <c r="Q4" s="25" t="s">
        <v>38</v>
      </c>
      <c r="R4" s="25" t="s">
        <v>38</v>
      </c>
      <c r="S4" s="25" t="s">
        <v>38</v>
      </c>
      <c r="T4" s="25" t="s">
        <v>38</v>
      </c>
      <c r="U4" s="25" t="s">
        <v>38</v>
      </c>
      <c r="V4" s="25" t="s">
        <v>38</v>
      </c>
      <c r="W4" s="25" t="s">
        <v>38</v>
      </c>
      <c r="X4" s="25" t="s">
        <v>38</v>
      </c>
      <c r="Y4" s="25" t="s">
        <v>38</v>
      </c>
      <c r="Z4" s="25" t="s">
        <v>38</v>
      </c>
      <c r="AA4" s="25" t="s">
        <v>38</v>
      </c>
      <c r="AB4" s="25" t="s">
        <v>38</v>
      </c>
      <c r="AC4" s="27"/>
      <c r="AD4" s="25">
        <v>6.9</v>
      </c>
      <c r="AE4" s="25">
        <v>1.61</v>
      </c>
      <c r="AF4" s="25">
        <v>0.8</v>
      </c>
      <c r="AG4" s="25">
        <v>22.5</v>
      </c>
      <c r="AH4" s="25">
        <v>6.9</v>
      </c>
      <c r="AI4" s="25">
        <v>1.57</v>
      </c>
      <c r="AJ4" s="25">
        <v>0.78</v>
      </c>
      <c r="AK4" s="25">
        <v>22.5</v>
      </c>
      <c r="AL4" s="25">
        <v>6.9</v>
      </c>
      <c r="AM4" s="25">
        <v>1.56</v>
      </c>
      <c r="AN4" s="25">
        <v>0.78</v>
      </c>
      <c r="AO4" s="25">
        <v>22.3</v>
      </c>
      <c r="AP4" s="25">
        <v>6.8</v>
      </c>
      <c r="AQ4" s="25">
        <v>1.57</v>
      </c>
      <c r="AR4" s="25">
        <v>0.78</v>
      </c>
      <c r="AS4" s="25">
        <v>22.7</v>
      </c>
      <c r="AT4" s="25">
        <v>7</v>
      </c>
      <c r="AU4" s="25">
        <v>1.56</v>
      </c>
      <c r="AV4" s="25">
        <v>0.77</v>
      </c>
      <c r="AW4" s="25">
        <v>22.9</v>
      </c>
      <c r="AX4" s="25">
        <v>6.9</v>
      </c>
      <c r="AY4" s="25">
        <v>1.56</v>
      </c>
      <c r="AZ4" s="25">
        <v>0.76</v>
      </c>
      <c r="BA4" s="25">
        <v>23</v>
      </c>
      <c r="BB4" s="25">
        <v>48300</v>
      </c>
      <c r="BC4" s="25">
        <v>60.8</v>
      </c>
      <c r="BD4" s="25">
        <v>22.1</v>
      </c>
    </row>
    <row r="5" spans="1:56" ht="15.75" customHeight="1" x14ac:dyDescent="0.15">
      <c r="A5" s="26">
        <v>45599</v>
      </c>
      <c r="B5" s="25">
        <v>5.3</v>
      </c>
      <c r="C5" s="25">
        <v>2</v>
      </c>
      <c r="D5" s="25">
        <f t="shared" ref="D5:D16" si="0">C5/2</f>
        <v>1</v>
      </c>
      <c r="E5" s="25">
        <v>19.3</v>
      </c>
      <c r="F5" s="25">
        <v>5.8</v>
      </c>
      <c r="G5" s="25">
        <v>2.02</v>
      </c>
      <c r="H5" s="25">
        <f t="shared" ref="H5:H16" si="1">G5/2</f>
        <v>1.01</v>
      </c>
      <c r="I5" s="25">
        <v>19.100000000000001</v>
      </c>
      <c r="J5" s="25">
        <v>5.6</v>
      </c>
      <c r="K5" s="25">
        <v>2.02</v>
      </c>
      <c r="L5" s="25">
        <f t="shared" ref="L5:L16" si="2">K5/2</f>
        <v>1.01</v>
      </c>
      <c r="M5" s="25">
        <v>18.899999999999999</v>
      </c>
      <c r="N5" s="25">
        <v>5.6</v>
      </c>
      <c r="O5" s="25">
        <v>1.94</v>
      </c>
      <c r="P5" s="25">
        <f t="shared" ref="P5:P16" si="3">O5/2</f>
        <v>0.97</v>
      </c>
      <c r="Q5" s="25">
        <v>18.600000000000001</v>
      </c>
      <c r="R5" s="25">
        <v>5.8</v>
      </c>
      <c r="S5" s="25">
        <v>2.0099999999999998</v>
      </c>
      <c r="T5" s="25">
        <f t="shared" ref="T5:T16" si="4">S5/2</f>
        <v>1.0049999999999999</v>
      </c>
      <c r="U5" s="25">
        <v>19.7</v>
      </c>
      <c r="V5" s="25">
        <v>5.6</v>
      </c>
      <c r="W5" s="25">
        <v>2.16</v>
      </c>
      <c r="X5" s="25">
        <f t="shared" ref="X5:X16" si="5">W5/2</f>
        <v>1.08</v>
      </c>
      <c r="Y5" s="25">
        <v>22.9</v>
      </c>
      <c r="Z5" s="25">
        <v>50330</v>
      </c>
      <c r="AA5" s="25">
        <v>64</v>
      </c>
      <c r="AB5" s="25">
        <v>20.399999999999999</v>
      </c>
      <c r="AC5" s="27"/>
      <c r="AD5" s="25">
        <v>5.2</v>
      </c>
      <c r="AE5" s="25">
        <v>2</v>
      </c>
      <c r="AF5" s="25">
        <f t="shared" ref="AF5:AF8" si="6">AE5/2</f>
        <v>1</v>
      </c>
      <c r="AG5" s="25">
        <v>23.9</v>
      </c>
      <c r="AH5" s="25">
        <v>5.8</v>
      </c>
      <c r="AI5" s="25">
        <v>2.02</v>
      </c>
      <c r="AJ5" s="25">
        <f t="shared" ref="AJ5:AJ8" si="7">AI5/2</f>
        <v>1.01</v>
      </c>
      <c r="AK5" s="25">
        <v>22.1</v>
      </c>
      <c r="AL5" s="25">
        <v>5.7</v>
      </c>
      <c r="AM5" s="25">
        <v>2.0099999999999998</v>
      </c>
      <c r="AN5" s="25">
        <f t="shared" ref="AN5:AN8" si="8">AM5/2</f>
        <v>1.0049999999999999</v>
      </c>
      <c r="AO5" s="25">
        <v>22.3</v>
      </c>
      <c r="AP5" s="25">
        <v>5.4</v>
      </c>
      <c r="AQ5" s="25">
        <v>1.94</v>
      </c>
      <c r="AR5" s="25">
        <f t="shared" ref="AR5:AR8" si="9">AQ5/2</f>
        <v>0.97</v>
      </c>
      <c r="AS5" s="25">
        <v>22.5</v>
      </c>
      <c r="AT5" s="25">
        <v>5.8</v>
      </c>
      <c r="AU5" s="25">
        <v>2.02</v>
      </c>
      <c r="AV5" s="25">
        <f t="shared" ref="AV5:AV8" si="10">AU5/2</f>
        <v>1.01</v>
      </c>
      <c r="AW5" s="25">
        <v>22.3</v>
      </c>
      <c r="AX5" s="25">
        <v>5.6</v>
      </c>
      <c r="AY5" s="25">
        <v>2.16</v>
      </c>
      <c r="AZ5" s="25">
        <f t="shared" ref="AZ5:AZ8" si="11">AY5/2</f>
        <v>1.08</v>
      </c>
      <c r="BA5" s="25">
        <v>22.9</v>
      </c>
      <c r="BB5" s="25">
        <v>61270</v>
      </c>
      <c r="BC5" s="25">
        <v>59.5</v>
      </c>
      <c r="BD5" s="25">
        <v>21.8</v>
      </c>
    </row>
    <row r="6" spans="1:56" ht="15.75" customHeight="1" x14ac:dyDescent="0.15">
      <c r="A6" s="26">
        <v>45629</v>
      </c>
      <c r="B6" s="25">
        <v>5.7</v>
      </c>
      <c r="C6" s="25">
        <v>1.95</v>
      </c>
      <c r="D6" s="25">
        <f t="shared" si="0"/>
        <v>0.97499999999999998</v>
      </c>
      <c r="E6" s="25">
        <v>22</v>
      </c>
      <c r="F6" s="25">
        <v>5.8</v>
      </c>
      <c r="G6" s="25">
        <v>2.02</v>
      </c>
      <c r="H6" s="25">
        <f t="shared" si="1"/>
        <v>1.01</v>
      </c>
      <c r="I6" s="25">
        <v>21.2</v>
      </c>
      <c r="J6" s="25">
        <v>5.7</v>
      </c>
      <c r="K6" s="25">
        <v>2.0099999999999998</v>
      </c>
      <c r="L6" s="25">
        <f t="shared" si="2"/>
        <v>1.0049999999999999</v>
      </c>
      <c r="M6" s="25">
        <v>20.6</v>
      </c>
      <c r="N6" s="25">
        <v>5.4</v>
      </c>
      <c r="O6" s="25">
        <v>1.98</v>
      </c>
      <c r="P6" s="25">
        <f t="shared" si="3"/>
        <v>0.99</v>
      </c>
      <c r="Q6" s="25">
        <v>21.4</v>
      </c>
      <c r="R6" s="25">
        <v>5.9</v>
      </c>
      <c r="S6" s="25">
        <v>2.02</v>
      </c>
      <c r="T6" s="25">
        <f t="shared" si="4"/>
        <v>1.01</v>
      </c>
      <c r="U6" s="25">
        <v>22</v>
      </c>
      <c r="V6" s="25">
        <v>6.9</v>
      </c>
      <c r="W6" s="25">
        <v>1.54</v>
      </c>
      <c r="X6" s="25">
        <f t="shared" si="5"/>
        <v>0.77</v>
      </c>
      <c r="Y6" s="25">
        <v>22.6</v>
      </c>
      <c r="Z6" s="25">
        <v>60540</v>
      </c>
      <c r="AA6" s="25">
        <v>45</v>
      </c>
      <c r="AB6" s="25">
        <v>29.5</v>
      </c>
      <c r="AC6" s="27"/>
      <c r="AD6" s="25">
        <v>5.7</v>
      </c>
      <c r="AE6" s="25">
        <v>1.94</v>
      </c>
      <c r="AF6" s="25">
        <f t="shared" si="6"/>
        <v>0.97</v>
      </c>
      <c r="AG6" s="25">
        <v>25.7</v>
      </c>
      <c r="AH6" s="25">
        <v>5.8</v>
      </c>
      <c r="AI6" s="25">
        <v>2.0099999999999998</v>
      </c>
      <c r="AJ6" s="25">
        <f t="shared" si="7"/>
        <v>1.0049999999999999</v>
      </c>
      <c r="AK6" s="25">
        <v>25.7</v>
      </c>
      <c r="AL6" s="25">
        <v>5.7</v>
      </c>
      <c r="AM6" s="25">
        <v>2.0099999999999998</v>
      </c>
      <c r="AN6" s="25">
        <f t="shared" si="8"/>
        <v>1.0049999999999999</v>
      </c>
      <c r="AO6" s="25">
        <v>26</v>
      </c>
      <c r="AP6" s="25">
        <v>5.4</v>
      </c>
      <c r="AQ6" s="25">
        <v>1.98</v>
      </c>
      <c r="AR6" s="25">
        <f t="shared" si="9"/>
        <v>0.99</v>
      </c>
      <c r="AS6" s="25">
        <v>25.4</v>
      </c>
      <c r="AT6" s="25">
        <v>5.9</v>
      </c>
      <c r="AU6" s="25">
        <v>2.02</v>
      </c>
      <c r="AV6" s="25">
        <f t="shared" si="10"/>
        <v>1.01</v>
      </c>
      <c r="AW6" s="25">
        <v>25.5</v>
      </c>
      <c r="AX6" s="25">
        <v>6.3</v>
      </c>
      <c r="AY6" s="25">
        <v>1.86</v>
      </c>
      <c r="AZ6" s="25">
        <f t="shared" si="11"/>
        <v>0.93</v>
      </c>
      <c r="BA6" s="25">
        <v>26</v>
      </c>
      <c r="BB6" s="25">
        <v>45190</v>
      </c>
      <c r="BC6" s="25">
        <v>55</v>
      </c>
      <c r="BD6" s="25">
        <v>26.7</v>
      </c>
    </row>
    <row r="7" spans="1:56" ht="15.75" customHeight="1" x14ac:dyDescent="0.15">
      <c r="A7" s="28" t="s">
        <v>39</v>
      </c>
      <c r="B7" s="11">
        <v>5.9</v>
      </c>
      <c r="C7" s="11">
        <v>1.97</v>
      </c>
      <c r="D7" s="25">
        <f t="shared" si="0"/>
        <v>0.98499999999999999</v>
      </c>
      <c r="E7" s="11">
        <v>22</v>
      </c>
      <c r="F7" s="11">
        <v>6</v>
      </c>
      <c r="G7" s="11">
        <v>2.02</v>
      </c>
      <c r="H7" s="25">
        <f t="shared" si="1"/>
        <v>1.01</v>
      </c>
      <c r="I7" s="11">
        <v>22</v>
      </c>
      <c r="J7" s="11">
        <v>5.8</v>
      </c>
      <c r="K7" s="11">
        <v>2.02</v>
      </c>
      <c r="L7" s="25">
        <f t="shared" si="2"/>
        <v>1.01</v>
      </c>
      <c r="M7" s="11">
        <v>22</v>
      </c>
      <c r="N7" s="11">
        <v>5.5</v>
      </c>
      <c r="O7" s="11">
        <v>1.96</v>
      </c>
      <c r="P7" s="25">
        <f t="shared" si="3"/>
        <v>0.98</v>
      </c>
      <c r="Q7" s="11">
        <v>22</v>
      </c>
      <c r="R7" s="11">
        <v>5.9</v>
      </c>
      <c r="S7" s="11">
        <v>2.0299999999999998</v>
      </c>
      <c r="T7" s="25">
        <f t="shared" si="4"/>
        <v>1.0149999999999999</v>
      </c>
      <c r="U7" s="11">
        <v>22.4</v>
      </c>
      <c r="V7" s="11">
        <v>6.5</v>
      </c>
      <c r="W7" s="11">
        <v>1.87</v>
      </c>
      <c r="X7" s="25">
        <f t="shared" si="5"/>
        <v>0.93500000000000005</v>
      </c>
      <c r="Y7" s="11">
        <v>23</v>
      </c>
      <c r="Z7" s="11"/>
      <c r="AA7" s="11"/>
      <c r="AB7" s="11"/>
      <c r="AC7" s="29"/>
      <c r="AD7" s="11">
        <v>6</v>
      </c>
      <c r="AE7" s="11">
        <v>2.02</v>
      </c>
      <c r="AF7" s="25">
        <f t="shared" si="6"/>
        <v>1.01</v>
      </c>
      <c r="AG7" s="11">
        <v>22</v>
      </c>
      <c r="AH7" s="11">
        <v>5.8</v>
      </c>
      <c r="AI7" s="11">
        <v>2.0099999999999998</v>
      </c>
      <c r="AJ7" s="25">
        <f t="shared" si="7"/>
        <v>1.0049999999999999</v>
      </c>
      <c r="AK7" s="11">
        <v>25.4</v>
      </c>
      <c r="AL7" s="11">
        <v>5.7</v>
      </c>
      <c r="AM7" s="11">
        <v>2</v>
      </c>
      <c r="AN7" s="25">
        <f t="shared" si="8"/>
        <v>1</v>
      </c>
      <c r="AO7" s="11">
        <v>26</v>
      </c>
      <c r="AP7" s="11">
        <v>5.5</v>
      </c>
      <c r="AQ7" s="11">
        <v>1.95</v>
      </c>
      <c r="AR7" s="25">
        <f t="shared" si="9"/>
        <v>0.97499999999999998</v>
      </c>
      <c r="AS7" s="11">
        <v>25.3</v>
      </c>
      <c r="AT7" s="11">
        <v>5.9</v>
      </c>
      <c r="AU7" s="11">
        <v>2.0099999999999998</v>
      </c>
      <c r="AV7" s="25">
        <f t="shared" si="10"/>
        <v>1.0049999999999999</v>
      </c>
      <c r="AW7" s="11">
        <v>25.4</v>
      </c>
      <c r="AX7" s="11">
        <v>6.5</v>
      </c>
      <c r="AY7" s="11">
        <v>1.87</v>
      </c>
      <c r="AZ7" s="25">
        <f t="shared" si="11"/>
        <v>0.93500000000000005</v>
      </c>
      <c r="BA7" s="11">
        <v>26</v>
      </c>
      <c r="BB7" s="11"/>
      <c r="BC7" s="11"/>
      <c r="BD7" s="11"/>
    </row>
    <row r="8" spans="1:56" ht="15.75" customHeight="1" x14ac:dyDescent="0.15">
      <c r="A8" s="28" t="s">
        <v>40</v>
      </c>
      <c r="B8" s="11">
        <v>6</v>
      </c>
      <c r="C8" s="11">
        <v>1.92</v>
      </c>
      <c r="D8" s="25">
        <f t="shared" si="0"/>
        <v>0.96</v>
      </c>
      <c r="E8" s="11">
        <v>26.6</v>
      </c>
      <c r="F8" s="11">
        <v>6</v>
      </c>
      <c r="G8" s="11">
        <v>2</v>
      </c>
      <c r="H8" s="25">
        <f t="shared" si="1"/>
        <v>1</v>
      </c>
      <c r="I8" s="11">
        <v>25.1</v>
      </c>
      <c r="J8" s="11">
        <v>5.8</v>
      </c>
      <c r="K8" s="11">
        <v>1.99</v>
      </c>
      <c r="L8" s="25">
        <f t="shared" si="2"/>
        <v>0.995</v>
      </c>
      <c r="M8" s="11">
        <v>24</v>
      </c>
      <c r="N8" s="11">
        <v>5.5</v>
      </c>
      <c r="O8" s="11">
        <v>1.95</v>
      </c>
      <c r="P8" s="25">
        <f t="shared" si="3"/>
        <v>0.97499999999999998</v>
      </c>
      <c r="Q8" s="11">
        <v>25</v>
      </c>
      <c r="R8" s="11">
        <v>5.9</v>
      </c>
      <c r="S8" s="11">
        <v>2</v>
      </c>
      <c r="T8" s="25">
        <f t="shared" si="4"/>
        <v>1</v>
      </c>
      <c r="U8" s="11">
        <v>22.9</v>
      </c>
      <c r="V8" s="11">
        <v>6.4</v>
      </c>
      <c r="W8" s="11">
        <v>1.82</v>
      </c>
      <c r="X8" s="25">
        <f t="shared" si="5"/>
        <v>0.91</v>
      </c>
      <c r="Y8" s="11">
        <v>26.2</v>
      </c>
      <c r="Z8" s="11"/>
      <c r="AA8" s="11"/>
      <c r="AB8" s="11"/>
      <c r="AC8" s="29"/>
      <c r="AD8" s="11">
        <v>6</v>
      </c>
      <c r="AE8" s="11">
        <v>1.93</v>
      </c>
      <c r="AF8" s="25">
        <f t="shared" si="6"/>
        <v>0.96499999999999997</v>
      </c>
      <c r="AG8" s="11">
        <v>26</v>
      </c>
      <c r="AH8" s="11">
        <v>6</v>
      </c>
      <c r="AI8" s="11">
        <v>2.0099999999999998</v>
      </c>
      <c r="AJ8" s="25">
        <f t="shared" si="7"/>
        <v>1.0049999999999999</v>
      </c>
      <c r="AK8" s="11">
        <v>24.8</v>
      </c>
      <c r="AL8" s="11">
        <v>5.9</v>
      </c>
      <c r="AM8" s="11">
        <v>1.98</v>
      </c>
      <c r="AN8" s="25">
        <f t="shared" si="8"/>
        <v>0.99</v>
      </c>
      <c r="AO8" s="11">
        <v>25</v>
      </c>
      <c r="AP8" s="11">
        <v>5.6</v>
      </c>
      <c r="AQ8" s="11">
        <v>1.95</v>
      </c>
      <c r="AR8" s="25">
        <f t="shared" si="9"/>
        <v>0.97499999999999998</v>
      </c>
      <c r="AS8" s="11">
        <v>26</v>
      </c>
      <c r="AT8" s="11">
        <v>5.9</v>
      </c>
      <c r="AU8" s="11">
        <v>2.02</v>
      </c>
      <c r="AV8" s="25">
        <f t="shared" si="10"/>
        <v>1.01</v>
      </c>
      <c r="AW8" s="11">
        <v>25.6</v>
      </c>
      <c r="AX8" s="11">
        <v>6.4</v>
      </c>
      <c r="AY8" s="11">
        <v>1.82</v>
      </c>
      <c r="AZ8" s="25">
        <f t="shared" si="11"/>
        <v>0.91</v>
      </c>
      <c r="BA8" s="11">
        <v>28</v>
      </c>
      <c r="BB8" s="11"/>
      <c r="BC8" s="11"/>
      <c r="BD8" s="11"/>
    </row>
    <row r="9" spans="1:56" ht="15.75" customHeight="1" x14ac:dyDescent="0.15">
      <c r="A9" s="28" t="s">
        <v>41</v>
      </c>
      <c r="B9" s="11">
        <v>5.8</v>
      </c>
      <c r="C9" s="11">
        <v>1.94</v>
      </c>
      <c r="D9" s="25">
        <f t="shared" si="0"/>
        <v>0.97</v>
      </c>
      <c r="E9" s="11">
        <v>24.3</v>
      </c>
      <c r="F9" s="11">
        <v>5.9</v>
      </c>
      <c r="G9" s="11">
        <v>2.0299999999999998</v>
      </c>
      <c r="H9" s="25">
        <f t="shared" si="1"/>
        <v>1.0149999999999999</v>
      </c>
      <c r="I9" s="11">
        <v>24.9</v>
      </c>
      <c r="J9" s="11">
        <v>5.7</v>
      </c>
      <c r="K9" s="11">
        <v>2.0099999999999998</v>
      </c>
      <c r="L9" s="25">
        <f t="shared" si="2"/>
        <v>1.0049999999999999</v>
      </c>
      <c r="M9" s="11">
        <v>24.8</v>
      </c>
      <c r="N9" s="11">
        <v>5.5</v>
      </c>
      <c r="O9" s="11">
        <v>1.95</v>
      </c>
      <c r="P9" s="25">
        <f t="shared" si="3"/>
        <v>0.97499999999999998</v>
      </c>
      <c r="Q9" s="11">
        <v>26.2</v>
      </c>
      <c r="R9" s="11">
        <v>5.9</v>
      </c>
      <c r="S9" s="11">
        <v>2.1</v>
      </c>
      <c r="T9" s="25">
        <f t="shared" si="4"/>
        <v>1.05</v>
      </c>
      <c r="U9" s="11">
        <v>23.4</v>
      </c>
      <c r="V9" s="11">
        <v>6</v>
      </c>
      <c r="W9" s="11">
        <v>1.88</v>
      </c>
      <c r="X9" s="25">
        <f t="shared" si="5"/>
        <v>0.94</v>
      </c>
      <c r="Y9" s="11">
        <v>28.5</v>
      </c>
      <c r="Z9" s="11"/>
      <c r="AA9" s="11"/>
      <c r="AB9" s="11"/>
      <c r="AC9" s="30"/>
      <c r="AD9" s="11" t="s">
        <v>38</v>
      </c>
      <c r="AE9" s="11" t="s">
        <v>38</v>
      </c>
      <c r="AF9" s="25" t="s">
        <v>38</v>
      </c>
      <c r="AG9" s="11" t="s">
        <v>38</v>
      </c>
      <c r="AH9" s="11" t="s">
        <v>38</v>
      </c>
      <c r="AI9" s="11" t="s">
        <v>38</v>
      </c>
      <c r="AJ9" s="25" t="s">
        <v>38</v>
      </c>
      <c r="AK9" s="11" t="s">
        <v>38</v>
      </c>
      <c r="AL9" s="11" t="s">
        <v>38</v>
      </c>
      <c r="AM9" s="11" t="s">
        <v>38</v>
      </c>
      <c r="AN9" s="11" t="s">
        <v>38</v>
      </c>
      <c r="AO9" s="11" t="s">
        <v>38</v>
      </c>
      <c r="AP9" s="11" t="s">
        <v>38</v>
      </c>
      <c r="AQ9" s="11" t="s">
        <v>38</v>
      </c>
      <c r="AR9" s="11" t="s">
        <v>38</v>
      </c>
      <c r="AS9" s="11" t="s">
        <v>38</v>
      </c>
      <c r="AT9" s="11" t="s">
        <v>38</v>
      </c>
      <c r="AU9" s="11" t="s">
        <v>38</v>
      </c>
      <c r="AV9" s="11" t="s">
        <v>38</v>
      </c>
      <c r="AW9" s="11" t="s">
        <v>38</v>
      </c>
      <c r="AX9" s="11" t="s">
        <v>38</v>
      </c>
      <c r="AY9" s="11" t="s">
        <v>38</v>
      </c>
      <c r="AZ9" s="11" t="s">
        <v>38</v>
      </c>
      <c r="BA9" s="11" t="s">
        <v>38</v>
      </c>
      <c r="BB9" s="11"/>
      <c r="BC9" s="11"/>
      <c r="BD9" s="11"/>
    </row>
    <row r="10" spans="1:56" ht="15.75" customHeight="1" x14ac:dyDescent="0.15">
      <c r="A10" s="28" t="s">
        <v>42</v>
      </c>
      <c r="B10" s="11">
        <v>5.7</v>
      </c>
      <c r="C10" s="11">
        <v>1.94</v>
      </c>
      <c r="D10" s="25">
        <f t="shared" si="0"/>
        <v>0.97</v>
      </c>
      <c r="E10" s="11">
        <v>23</v>
      </c>
      <c r="F10" s="11">
        <v>5.9</v>
      </c>
      <c r="G10" s="11">
        <v>2.0099999999999998</v>
      </c>
      <c r="H10" s="25">
        <f t="shared" si="1"/>
        <v>1.0049999999999999</v>
      </c>
      <c r="I10" s="11">
        <v>24.1</v>
      </c>
      <c r="J10" s="11">
        <v>5.7</v>
      </c>
      <c r="K10" s="11">
        <v>2.0299999999999998</v>
      </c>
      <c r="L10" s="25">
        <f t="shared" si="2"/>
        <v>1.0149999999999999</v>
      </c>
      <c r="M10" s="11">
        <v>23.7</v>
      </c>
      <c r="N10" s="11">
        <v>5.5</v>
      </c>
      <c r="O10" s="11">
        <v>1.95</v>
      </c>
      <c r="P10" s="25">
        <f t="shared" si="3"/>
        <v>0.97499999999999998</v>
      </c>
      <c r="Q10" s="11">
        <v>23.7</v>
      </c>
      <c r="R10" s="11">
        <v>5.9</v>
      </c>
      <c r="S10" s="11">
        <v>2.02</v>
      </c>
      <c r="T10" s="25">
        <f t="shared" si="4"/>
        <v>1.01</v>
      </c>
      <c r="U10" s="11">
        <v>21.4</v>
      </c>
      <c r="V10" s="11">
        <v>5.9</v>
      </c>
      <c r="W10" s="11">
        <v>1.85</v>
      </c>
      <c r="X10" s="25">
        <f t="shared" si="5"/>
        <v>0.92500000000000004</v>
      </c>
      <c r="Y10" s="11">
        <v>25</v>
      </c>
      <c r="Z10" s="11">
        <v>22050</v>
      </c>
      <c r="AA10" s="11">
        <v>60</v>
      </c>
      <c r="AB10" s="11">
        <v>23.5</v>
      </c>
      <c r="AC10" s="30"/>
      <c r="AD10" s="11">
        <v>5.7</v>
      </c>
      <c r="AE10" s="11">
        <v>1.9</v>
      </c>
      <c r="AF10" s="25">
        <f>AE10/2</f>
        <v>0.95</v>
      </c>
      <c r="AG10" s="11">
        <v>23.9</v>
      </c>
      <c r="AH10" s="11">
        <v>6.1</v>
      </c>
      <c r="AI10" s="11">
        <v>2.0099999999999998</v>
      </c>
      <c r="AJ10" s="25">
        <f>AI10/2</f>
        <v>1.0049999999999999</v>
      </c>
      <c r="AK10" s="11">
        <v>23.6</v>
      </c>
      <c r="AL10" s="11">
        <v>5.9</v>
      </c>
      <c r="AM10" s="11">
        <v>2.02</v>
      </c>
      <c r="AN10" s="25">
        <f>AM10/2</f>
        <v>1.01</v>
      </c>
      <c r="AO10" s="11">
        <v>24.1</v>
      </c>
      <c r="AP10" s="11">
        <v>5.6</v>
      </c>
      <c r="AQ10" s="11">
        <v>1.95</v>
      </c>
      <c r="AR10" s="25">
        <f>AQ10/2</f>
        <v>0.97499999999999998</v>
      </c>
      <c r="AS10" s="11">
        <v>25.2</v>
      </c>
      <c r="AT10" s="11">
        <v>6</v>
      </c>
      <c r="AU10" s="11">
        <v>2.02</v>
      </c>
      <c r="AV10" s="25">
        <f>AU10/2</f>
        <v>1.01</v>
      </c>
      <c r="AW10" s="11">
        <v>23.4</v>
      </c>
      <c r="AX10" s="11">
        <v>6</v>
      </c>
      <c r="AY10" s="11">
        <v>1.92</v>
      </c>
      <c r="AZ10" s="25">
        <f>AY10/2</f>
        <v>0.96</v>
      </c>
      <c r="BA10" s="11">
        <v>24.7</v>
      </c>
      <c r="BB10" s="11"/>
      <c r="BC10" s="11"/>
      <c r="BD10" s="11"/>
    </row>
    <row r="11" spans="1:56" ht="15.75" customHeight="1" x14ac:dyDescent="0.15">
      <c r="A11" s="28" t="s">
        <v>43</v>
      </c>
      <c r="B11" s="11">
        <v>5.6</v>
      </c>
      <c r="C11" s="11">
        <v>1.88</v>
      </c>
      <c r="D11" s="25">
        <f t="shared" si="0"/>
        <v>0.94</v>
      </c>
      <c r="E11" s="11">
        <v>23.2</v>
      </c>
      <c r="F11" s="11">
        <v>5.7</v>
      </c>
      <c r="G11" s="11">
        <v>1.94</v>
      </c>
      <c r="H11" s="25">
        <f t="shared" si="1"/>
        <v>0.97</v>
      </c>
      <c r="I11" s="11">
        <v>24.5</v>
      </c>
      <c r="J11" s="11">
        <v>5.4</v>
      </c>
      <c r="K11" s="11">
        <v>1.96</v>
      </c>
      <c r="L11" s="25">
        <f t="shared" si="2"/>
        <v>0.98</v>
      </c>
      <c r="M11" s="11">
        <v>23.9</v>
      </c>
      <c r="N11" s="11">
        <v>5.0999999999999996</v>
      </c>
      <c r="O11" s="11">
        <v>1.89</v>
      </c>
      <c r="P11" s="25">
        <f t="shared" si="3"/>
        <v>0.94499999999999995</v>
      </c>
      <c r="Q11" s="11">
        <v>24.9</v>
      </c>
      <c r="R11" s="11">
        <v>5.5</v>
      </c>
      <c r="S11" s="11">
        <v>1.95</v>
      </c>
      <c r="T11" s="25">
        <f t="shared" si="4"/>
        <v>0.97499999999999998</v>
      </c>
      <c r="U11" s="11">
        <v>22.7</v>
      </c>
      <c r="V11" s="11">
        <v>5.4</v>
      </c>
      <c r="W11" s="11">
        <v>1.77</v>
      </c>
      <c r="X11" s="25">
        <f t="shared" si="5"/>
        <v>0.88500000000000001</v>
      </c>
      <c r="Y11" s="11">
        <v>27.1</v>
      </c>
      <c r="Z11" s="11">
        <v>38880</v>
      </c>
      <c r="AA11" s="11">
        <v>68.099999999999994</v>
      </c>
      <c r="AB11" s="11">
        <v>22.3</v>
      </c>
      <c r="AC11" s="30"/>
      <c r="AD11" s="11" t="s">
        <v>38</v>
      </c>
      <c r="AE11" s="11" t="s">
        <v>38</v>
      </c>
      <c r="AF11" s="11" t="s">
        <v>38</v>
      </c>
      <c r="AG11" s="11" t="s">
        <v>38</v>
      </c>
      <c r="AH11" s="11" t="s">
        <v>38</v>
      </c>
      <c r="AI11" s="11" t="s">
        <v>38</v>
      </c>
      <c r="AJ11" s="11" t="s">
        <v>38</v>
      </c>
      <c r="AK11" s="11" t="s">
        <v>38</v>
      </c>
      <c r="AL11" s="11" t="s">
        <v>38</v>
      </c>
      <c r="AM11" s="11" t="s">
        <v>38</v>
      </c>
      <c r="AN11" s="11" t="s">
        <v>38</v>
      </c>
      <c r="AO11" s="11" t="s">
        <v>38</v>
      </c>
      <c r="AP11" s="11" t="s">
        <v>38</v>
      </c>
      <c r="AQ11" s="11" t="s">
        <v>38</v>
      </c>
      <c r="AR11" s="11" t="s">
        <v>38</v>
      </c>
      <c r="AS11" s="11" t="s">
        <v>38</v>
      </c>
      <c r="AT11" s="11" t="s">
        <v>38</v>
      </c>
      <c r="AU11" s="11" t="s">
        <v>38</v>
      </c>
      <c r="AV11" s="11" t="s">
        <v>38</v>
      </c>
      <c r="AW11" s="11" t="s">
        <v>38</v>
      </c>
      <c r="AX11" s="11" t="s">
        <v>38</v>
      </c>
      <c r="AY11" s="11" t="s">
        <v>38</v>
      </c>
      <c r="AZ11" s="11" t="s">
        <v>38</v>
      </c>
      <c r="BA11" s="11" t="s">
        <v>38</v>
      </c>
      <c r="BB11" s="11"/>
      <c r="BC11" s="11"/>
      <c r="BD11" s="11"/>
    </row>
    <row r="12" spans="1:56" ht="15.75" customHeight="1" x14ac:dyDescent="0.15">
      <c r="A12" s="28" t="s">
        <v>44</v>
      </c>
      <c r="B12" s="11">
        <v>5.6</v>
      </c>
      <c r="C12" s="11">
        <v>1.88</v>
      </c>
      <c r="D12" s="25">
        <f t="shared" si="0"/>
        <v>0.94</v>
      </c>
      <c r="E12" s="11">
        <v>22.6</v>
      </c>
      <c r="F12" s="11">
        <v>5.7</v>
      </c>
      <c r="G12" s="11">
        <v>1.95</v>
      </c>
      <c r="H12" s="25">
        <f t="shared" si="1"/>
        <v>0.97499999999999998</v>
      </c>
      <c r="I12" s="11">
        <v>22.6</v>
      </c>
      <c r="J12" s="11">
        <v>5.5</v>
      </c>
      <c r="K12" s="11">
        <v>1.97</v>
      </c>
      <c r="L12" s="25">
        <f t="shared" si="2"/>
        <v>0.98499999999999999</v>
      </c>
      <c r="M12" s="11">
        <v>23.8</v>
      </c>
      <c r="N12" s="11">
        <v>5.2</v>
      </c>
      <c r="O12" s="11">
        <v>1.91</v>
      </c>
      <c r="P12" s="25">
        <f t="shared" si="3"/>
        <v>0.95499999999999996</v>
      </c>
      <c r="Q12" s="11">
        <v>24.7</v>
      </c>
      <c r="R12" s="11">
        <v>5.8</v>
      </c>
      <c r="S12" s="11">
        <v>1.96</v>
      </c>
      <c r="T12" s="25">
        <f t="shared" si="4"/>
        <v>0.98</v>
      </c>
      <c r="U12" s="11">
        <v>22.8</v>
      </c>
      <c r="V12" s="11">
        <v>5.6</v>
      </c>
      <c r="W12" s="11">
        <v>1.81</v>
      </c>
      <c r="X12" s="25">
        <f t="shared" si="5"/>
        <v>0.90500000000000003</v>
      </c>
      <c r="Y12" s="11">
        <v>27.9</v>
      </c>
      <c r="Z12" s="11">
        <v>27600</v>
      </c>
      <c r="AA12" s="11">
        <v>65.3</v>
      </c>
      <c r="AB12" s="11">
        <v>21.8</v>
      </c>
      <c r="AC12" s="30"/>
      <c r="AD12" s="11" t="s">
        <v>38</v>
      </c>
      <c r="AE12" s="11" t="s">
        <v>38</v>
      </c>
      <c r="AF12" s="11" t="s">
        <v>38</v>
      </c>
      <c r="AG12" s="11" t="s">
        <v>38</v>
      </c>
      <c r="AH12" s="11" t="s">
        <v>38</v>
      </c>
      <c r="AI12" s="11" t="s">
        <v>38</v>
      </c>
      <c r="AJ12" s="11" t="s">
        <v>38</v>
      </c>
      <c r="AK12" s="11" t="s">
        <v>38</v>
      </c>
      <c r="AL12" s="11" t="s">
        <v>38</v>
      </c>
      <c r="AM12" s="11" t="s">
        <v>38</v>
      </c>
      <c r="AN12" s="11" t="s">
        <v>38</v>
      </c>
      <c r="AO12" s="11" t="s">
        <v>38</v>
      </c>
      <c r="AP12" s="11" t="s">
        <v>38</v>
      </c>
      <c r="AQ12" s="11" t="s">
        <v>38</v>
      </c>
      <c r="AR12" s="11" t="s">
        <v>38</v>
      </c>
      <c r="AS12" s="11" t="s">
        <v>38</v>
      </c>
      <c r="AT12" s="11" t="s">
        <v>38</v>
      </c>
      <c r="AU12" s="11" t="s">
        <v>38</v>
      </c>
      <c r="AV12" s="11" t="s">
        <v>38</v>
      </c>
      <c r="AW12" s="11" t="s">
        <v>38</v>
      </c>
      <c r="AX12" s="11" t="s">
        <v>38</v>
      </c>
      <c r="AY12" s="11" t="s">
        <v>38</v>
      </c>
      <c r="AZ12" s="11" t="s">
        <v>38</v>
      </c>
      <c r="BA12" s="11" t="s">
        <v>38</v>
      </c>
      <c r="BB12" s="11"/>
      <c r="BC12" s="11"/>
      <c r="BD12" s="11"/>
    </row>
    <row r="13" spans="1:56" ht="15.75" customHeight="1" x14ac:dyDescent="0.15">
      <c r="A13" s="28" t="s">
        <v>45</v>
      </c>
      <c r="B13" s="11">
        <v>5.6</v>
      </c>
      <c r="C13" s="11">
        <v>1.89</v>
      </c>
      <c r="D13" s="25">
        <f t="shared" si="0"/>
        <v>0.94499999999999995</v>
      </c>
      <c r="E13" s="11">
        <v>25.1</v>
      </c>
      <c r="F13" s="11">
        <v>5.7</v>
      </c>
      <c r="G13" s="11">
        <v>1.93</v>
      </c>
      <c r="H13" s="25">
        <f t="shared" si="1"/>
        <v>0.96499999999999997</v>
      </c>
      <c r="I13" s="11">
        <v>24.5</v>
      </c>
      <c r="J13" s="11">
        <v>5.5</v>
      </c>
      <c r="K13" s="11">
        <v>1.95</v>
      </c>
      <c r="L13" s="25">
        <f t="shared" si="2"/>
        <v>0.97499999999999998</v>
      </c>
      <c r="M13" s="11">
        <v>24.3</v>
      </c>
      <c r="N13" s="11">
        <v>5.2</v>
      </c>
      <c r="O13" s="11">
        <v>1.87</v>
      </c>
      <c r="P13" s="25">
        <f t="shared" si="3"/>
        <v>0.93500000000000005</v>
      </c>
      <c r="Q13" s="11">
        <v>25.4</v>
      </c>
      <c r="R13" s="11">
        <v>5.7</v>
      </c>
      <c r="S13" s="11">
        <v>1.94</v>
      </c>
      <c r="T13" s="25">
        <f t="shared" si="4"/>
        <v>0.97</v>
      </c>
      <c r="U13" s="11">
        <v>23</v>
      </c>
      <c r="V13" s="11">
        <v>5.7</v>
      </c>
      <c r="W13" s="11">
        <v>1.76</v>
      </c>
      <c r="X13" s="25">
        <f t="shared" si="5"/>
        <v>0.88</v>
      </c>
      <c r="Y13" s="11">
        <v>27.3</v>
      </c>
      <c r="Z13" s="11">
        <v>75050</v>
      </c>
      <c r="AA13" s="11">
        <v>59.3</v>
      </c>
      <c r="AB13" s="11">
        <v>22.8</v>
      </c>
      <c r="AC13" s="31"/>
      <c r="AD13" s="11" t="s">
        <v>38</v>
      </c>
      <c r="AE13" s="11" t="s">
        <v>38</v>
      </c>
      <c r="AF13" s="11" t="s">
        <v>38</v>
      </c>
      <c r="AG13" s="11" t="s">
        <v>38</v>
      </c>
      <c r="AH13" s="11" t="s">
        <v>38</v>
      </c>
      <c r="AI13" s="11" t="s">
        <v>38</v>
      </c>
      <c r="AJ13" s="11" t="s">
        <v>38</v>
      </c>
      <c r="AK13" s="11" t="s">
        <v>38</v>
      </c>
      <c r="AL13" s="11" t="s">
        <v>38</v>
      </c>
      <c r="AM13" s="11" t="s">
        <v>38</v>
      </c>
      <c r="AN13" s="11" t="s">
        <v>38</v>
      </c>
      <c r="AO13" s="11" t="s">
        <v>38</v>
      </c>
      <c r="AP13" s="11" t="s">
        <v>38</v>
      </c>
      <c r="AQ13" s="11" t="s">
        <v>38</v>
      </c>
      <c r="AR13" s="11" t="s">
        <v>38</v>
      </c>
      <c r="AS13" s="11" t="s">
        <v>38</v>
      </c>
      <c r="AT13" s="11" t="s">
        <v>38</v>
      </c>
      <c r="AU13" s="11" t="s">
        <v>38</v>
      </c>
      <c r="AV13" s="11" t="s">
        <v>38</v>
      </c>
      <c r="AW13" s="11" t="s">
        <v>38</v>
      </c>
      <c r="AX13" s="11" t="s">
        <v>38</v>
      </c>
      <c r="AY13" s="11" t="s">
        <v>38</v>
      </c>
      <c r="AZ13" s="11" t="s">
        <v>38</v>
      </c>
      <c r="BA13" s="11" t="s">
        <v>38</v>
      </c>
      <c r="BB13" s="11"/>
      <c r="BC13" s="11"/>
      <c r="BD13" s="11"/>
    </row>
    <row r="14" spans="1:56" ht="15.75" customHeight="1" x14ac:dyDescent="0.15">
      <c r="A14" s="28" t="s">
        <v>46</v>
      </c>
      <c r="B14" s="11">
        <v>5.4</v>
      </c>
      <c r="C14" s="11">
        <v>1.9</v>
      </c>
      <c r="D14" s="25">
        <f t="shared" si="0"/>
        <v>0.95</v>
      </c>
      <c r="E14" s="11">
        <v>22.2</v>
      </c>
      <c r="F14" s="11">
        <v>5.5</v>
      </c>
      <c r="G14" s="11">
        <v>1.96</v>
      </c>
      <c r="H14" s="25">
        <f t="shared" si="1"/>
        <v>0.98</v>
      </c>
      <c r="I14" s="11">
        <v>23.7</v>
      </c>
      <c r="J14" s="11">
        <v>5.3</v>
      </c>
      <c r="K14" s="11">
        <v>2.0099999999999998</v>
      </c>
      <c r="L14" s="25">
        <f t="shared" si="2"/>
        <v>1.0049999999999999</v>
      </c>
      <c r="M14" s="11">
        <v>23.6</v>
      </c>
      <c r="N14" s="11">
        <v>5</v>
      </c>
      <c r="O14" s="11">
        <v>1.93</v>
      </c>
      <c r="P14" s="25">
        <f t="shared" si="3"/>
        <v>0.96499999999999997</v>
      </c>
      <c r="Q14" s="11">
        <v>24.1</v>
      </c>
      <c r="R14" s="11">
        <v>5.4</v>
      </c>
      <c r="S14" s="11">
        <v>1.99</v>
      </c>
      <c r="T14" s="25">
        <f t="shared" si="4"/>
        <v>0.995</v>
      </c>
      <c r="U14" s="11">
        <v>22.1</v>
      </c>
      <c r="V14" s="11">
        <v>5.4</v>
      </c>
      <c r="W14" s="11">
        <v>1.84</v>
      </c>
      <c r="X14" s="25">
        <f t="shared" si="5"/>
        <v>0.92</v>
      </c>
      <c r="Y14" s="11">
        <v>26.1</v>
      </c>
      <c r="Z14" s="11">
        <v>36200</v>
      </c>
      <c r="AA14" s="11">
        <v>60.3</v>
      </c>
      <c r="AB14" s="11">
        <v>22.5</v>
      </c>
      <c r="AC14" s="31"/>
      <c r="AD14" s="11">
        <v>5.6</v>
      </c>
      <c r="AE14" s="11">
        <v>1.82</v>
      </c>
      <c r="AF14" s="25">
        <f t="shared" ref="AF14:AF27" si="12">AE14/2</f>
        <v>0.91</v>
      </c>
      <c r="AG14" s="11">
        <v>25</v>
      </c>
      <c r="AH14" s="11">
        <v>5.7</v>
      </c>
      <c r="AI14" s="11">
        <v>1.89</v>
      </c>
      <c r="AJ14" s="25">
        <f t="shared" ref="AJ14:AJ27" si="13">AI14/2</f>
        <v>0.94499999999999995</v>
      </c>
      <c r="AK14" s="11">
        <v>25</v>
      </c>
      <c r="AL14" s="11">
        <v>5.7</v>
      </c>
      <c r="AM14" s="11">
        <v>1.83</v>
      </c>
      <c r="AN14" s="25">
        <f t="shared" ref="AN14:AN27" si="14">AM14/2</f>
        <v>0.91500000000000004</v>
      </c>
      <c r="AO14" s="11">
        <v>24.9</v>
      </c>
      <c r="AP14" s="11">
        <v>5.6</v>
      </c>
      <c r="AQ14" s="11">
        <v>1.75</v>
      </c>
      <c r="AR14" s="25">
        <f t="shared" ref="AR14:AR27" si="15">AQ14/2</f>
        <v>0.875</v>
      </c>
      <c r="AS14" s="11">
        <v>25.2</v>
      </c>
      <c r="AT14" s="11">
        <v>5.8</v>
      </c>
      <c r="AU14" s="11">
        <v>1.78</v>
      </c>
      <c r="AV14" s="25">
        <f t="shared" ref="AV14:AV27" si="16">AU14/2</f>
        <v>0.89</v>
      </c>
      <c r="AW14" s="11">
        <v>24.6</v>
      </c>
      <c r="AX14" s="11">
        <v>5.8</v>
      </c>
      <c r="AY14" s="11">
        <v>1.75</v>
      </c>
      <c r="AZ14" s="25">
        <f t="shared" ref="AZ14:AZ27" si="17">AY14/2</f>
        <v>0.875</v>
      </c>
      <c r="BA14" s="11">
        <v>26.7</v>
      </c>
      <c r="BB14" s="11"/>
      <c r="BC14" s="11"/>
      <c r="BD14" s="11"/>
    </row>
    <row r="15" spans="1:56" ht="15.75" customHeight="1" x14ac:dyDescent="0.15">
      <c r="A15" s="28" t="s">
        <v>47</v>
      </c>
      <c r="B15" s="11">
        <v>5.9</v>
      </c>
      <c r="C15" s="11">
        <v>1.87</v>
      </c>
      <c r="D15" s="25">
        <f t="shared" si="0"/>
        <v>0.93500000000000005</v>
      </c>
      <c r="E15" s="11">
        <v>20.6</v>
      </c>
      <c r="F15" s="11">
        <v>5.9</v>
      </c>
      <c r="G15" s="11">
        <v>1.91</v>
      </c>
      <c r="H15" s="25">
        <f t="shared" si="1"/>
        <v>0.95499999999999996</v>
      </c>
      <c r="I15" s="11">
        <v>20.3</v>
      </c>
      <c r="J15" s="11">
        <v>5.9</v>
      </c>
      <c r="K15" s="11">
        <v>1.87</v>
      </c>
      <c r="L15" s="25">
        <f t="shared" si="2"/>
        <v>0.93500000000000005</v>
      </c>
      <c r="M15" s="11">
        <v>20.2</v>
      </c>
      <c r="N15" s="11">
        <v>5.6</v>
      </c>
      <c r="O15" s="11">
        <v>1.8</v>
      </c>
      <c r="P15" s="25">
        <f t="shared" si="3"/>
        <v>0.9</v>
      </c>
      <c r="Q15" s="11">
        <v>20.2</v>
      </c>
      <c r="R15" s="11">
        <v>6</v>
      </c>
      <c r="S15" s="11">
        <v>1.8</v>
      </c>
      <c r="T15" s="25">
        <f t="shared" si="4"/>
        <v>0.9</v>
      </c>
      <c r="U15" s="11">
        <v>20</v>
      </c>
      <c r="V15" s="11">
        <v>5.9</v>
      </c>
      <c r="W15" s="11">
        <v>1.73</v>
      </c>
      <c r="X15" s="25">
        <f t="shared" si="5"/>
        <v>0.86499999999999999</v>
      </c>
      <c r="Y15" s="11">
        <v>20.399999999999999</v>
      </c>
      <c r="Z15" s="11">
        <v>15460</v>
      </c>
      <c r="AA15" s="11">
        <v>64.099999999999994</v>
      </c>
      <c r="AB15" s="11">
        <v>22.7</v>
      </c>
      <c r="AC15" s="31"/>
      <c r="AD15" s="11">
        <v>5.8</v>
      </c>
      <c r="AE15" s="11">
        <v>1.87</v>
      </c>
      <c r="AF15" s="25">
        <f t="shared" si="12"/>
        <v>0.93500000000000005</v>
      </c>
      <c r="AG15" s="11">
        <v>21.6</v>
      </c>
      <c r="AH15" s="11">
        <v>5.8</v>
      </c>
      <c r="AI15" s="11">
        <v>1.9</v>
      </c>
      <c r="AJ15" s="25">
        <f t="shared" si="13"/>
        <v>0.95</v>
      </c>
      <c r="AK15" s="11">
        <v>23.9</v>
      </c>
      <c r="AL15" s="11">
        <v>5.9</v>
      </c>
      <c r="AM15" s="11">
        <v>1.89</v>
      </c>
      <c r="AN15" s="25">
        <f t="shared" si="14"/>
        <v>0.94499999999999995</v>
      </c>
      <c r="AO15" s="11">
        <v>23.8</v>
      </c>
      <c r="AP15" s="11">
        <v>5.6</v>
      </c>
      <c r="AQ15" s="11">
        <v>1.8</v>
      </c>
      <c r="AR15" s="25">
        <f t="shared" si="15"/>
        <v>0.9</v>
      </c>
      <c r="AS15" s="11">
        <v>24.7</v>
      </c>
      <c r="AT15" s="11">
        <v>6</v>
      </c>
      <c r="AU15" s="11">
        <v>1.79</v>
      </c>
      <c r="AV15" s="25">
        <f t="shared" si="16"/>
        <v>0.89500000000000002</v>
      </c>
      <c r="AW15" s="11">
        <v>23.7</v>
      </c>
      <c r="AX15" s="11">
        <v>5.9</v>
      </c>
      <c r="AY15" s="11">
        <v>1.74</v>
      </c>
      <c r="AZ15" s="25">
        <f t="shared" si="17"/>
        <v>0.87</v>
      </c>
      <c r="BA15" s="11">
        <v>25.3</v>
      </c>
      <c r="BB15" s="11"/>
      <c r="BC15" s="11"/>
      <c r="BD15" s="11"/>
    </row>
    <row r="16" spans="1:56" ht="15.75" customHeight="1" x14ac:dyDescent="0.15">
      <c r="A16" s="28" t="s">
        <v>48</v>
      </c>
      <c r="B16" s="11">
        <v>5.8</v>
      </c>
      <c r="C16" s="11">
        <v>1.86</v>
      </c>
      <c r="D16" s="25">
        <f t="shared" si="0"/>
        <v>0.93</v>
      </c>
      <c r="E16" s="11">
        <v>25.1</v>
      </c>
      <c r="F16" s="11">
        <v>5.8</v>
      </c>
      <c r="G16" s="11">
        <v>1.88</v>
      </c>
      <c r="H16" s="25">
        <f t="shared" si="1"/>
        <v>0.94</v>
      </c>
      <c r="I16" s="11">
        <v>24</v>
      </c>
      <c r="J16" s="11">
        <v>5.9</v>
      </c>
      <c r="K16" s="11">
        <v>1.86</v>
      </c>
      <c r="L16" s="25">
        <f t="shared" si="2"/>
        <v>0.93</v>
      </c>
      <c r="M16" s="11">
        <v>23.9</v>
      </c>
      <c r="N16" s="11">
        <v>5.6</v>
      </c>
      <c r="O16" s="11">
        <v>1.8</v>
      </c>
      <c r="P16" s="25">
        <f t="shared" si="3"/>
        <v>0.9</v>
      </c>
      <c r="Q16" s="11">
        <v>23.5</v>
      </c>
      <c r="R16" s="11">
        <v>5.9</v>
      </c>
      <c r="S16" s="11">
        <v>1.78</v>
      </c>
      <c r="T16" s="25">
        <f t="shared" si="4"/>
        <v>0.89</v>
      </c>
      <c r="U16" s="11">
        <v>22.9</v>
      </c>
      <c r="V16" s="11">
        <v>5.8</v>
      </c>
      <c r="W16" s="11">
        <v>1.73</v>
      </c>
      <c r="X16" s="25">
        <f t="shared" si="5"/>
        <v>0.86499999999999999</v>
      </c>
      <c r="Y16" s="11">
        <v>25</v>
      </c>
      <c r="Z16" s="11"/>
      <c r="AA16" s="11"/>
      <c r="AB16" s="11"/>
      <c r="AC16" s="31"/>
      <c r="AD16" s="11">
        <v>5.8</v>
      </c>
      <c r="AE16" s="11">
        <v>1.87</v>
      </c>
      <c r="AF16" s="25">
        <f t="shared" si="12"/>
        <v>0.93500000000000005</v>
      </c>
      <c r="AG16" s="11">
        <v>24.7</v>
      </c>
      <c r="AH16" s="11">
        <v>5.7</v>
      </c>
      <c r="AI16" s="11">
        <v>1.88</v>
      </c>
      <c r="AJ16" s="25">
        <f t="shared" si="13"/>
        <v>0.94</v>
      </c>
      <c r="AK16" s="11">
        <v>24.4</v>
      </c>
      <c r="AL16" s="11">
        <v>5.8</v>
      </c>
      <c r="AM16" s="11">
        <v>1.87</v>
      </c>
      <c r="AN16" s="25">
        <f t="shared" si="14"/>
        <v>0.93500000000000005</v>
      </c>
      <c r="AO16" s="11">
        <v>24.7</v>
      </c>
      <c r="AP16" s="11">
        <v>5.5</v>
      </c>
      <c r="AQ16" s="11">
        <v>1.8</v>
      </c>
      <c r="AR16" s="25">
        <f t="shared" si="15"/>
        <v>0.9</v>
      </c>
      <c r="AS16" s="11">
        <v>25.5</v>
      </c>
      <c r="AT16" s="11">
        <v>5.8</v>
      </c>
      <c r="AU16" s="11">
        <v>1.87</v>
      </c>
      <c r="AV16" s="25">
        <f t="shared" si="16"/>
        <v>0.93500000000000005</v>
      </c>
      <c r="AW16" s="11">
        <v>24.3</v>
      </c>
      <c r="AX16" s="11">
        <v>5.8</v>
      </c>
      <c r="AY16" s="11">
        <v>1.74</v>
      </c>
      <c r="AZ16" s="25">
        <f t="shared" si="17"/>
        <v>0.87</v>
      </c>
      <c r="BA16" s="11">
        <v>26.9</v>
      </c>
      <c r="BB16" s="11"/>
      <c r="BC16" s="11"/>
      <c r="BD16" s="11"/>
    </row>
    <row r="17" spans="1:56" ht="15.75" customHeight="1" x14ac:dyDescent="0.15">
      <c r="A17" s="28" t="s">
        <v>49</v>
      </c>
      <c r="B17" s="11" t="s">
        <v>50</v>
      </c>
      <c r="C17" s="11" t="s">
        <v>38</v>
      </c>
      <c r="D17" s="25" t="s">
        <v>38</v>
      </c>
      <c r="E17" s="11" t="s">
        <v>38</v>
      </c>
      <c r="F17" s="11" t="s">
        <v>38</v>
      </c>
      <c r="G17" s="11" t="s">
        <v>38</v>
      </c>
      <c r="H17" s="25" t="s">
        <v>38</v>
      </c>
      <c r="I17" s="11" t="s">
        <v>38</v>
      </c>
      <c r="J17" s="11" t="s">
        <v>38</v>
      </c>
      <c r="K17" s="11" t="s">
        <v>38</v>
      </c>
      <c r="L17" s="25" t="s">
        <v>38</v>
      </c>
      <c r="M17" s="11" t="s">
        <v>38</v>
      </c>
      <c r="N17" s="11" t="s">
        <v>38</v>
      </c>
      <c r="O17" s="11" t="s">
        <v>38</v>
      </c>
      <c r="P17" s="25" t="s">
        <v>38</v>
      </c>
      <c r="Q17" s="11" t="s">
        <v>38</v>
      </c>
      <c r="R17" s="11" t="s">
        <v>38</v>
      </c>
      <c r="S17" s="11" t="s">
        <v>38</v>
      </c>
      <c r="T17" s="25" t="s">
        <v>38</v>
      </c>
      <c r="U17" s="11" t="s">
        <v>38</v>
      </c>
      <c r="V17" s="11" t="s">
        <v>38</v>
      </c>
      <c r="W17" s="11" t="s">
        <v>38</v>
      </c>
      <c r="X17" s="25" t="s">
        <v>38</v>
      </c>
      <c r="Y17" s="11" t="s">
        <v>38</v>
      </c>
      <c r="Z17" s="11"/>
      <c r="AA17" s="11"/>
      <c r="AB17" s="11"/>
      <c r="AC17" s="31"/>
      <c r="AD17" s="11"/>
      <c r="AE17" s="11"/>
      <c r="AF17" s="25">
        <f t="shared" si="12"/>
        <v>0</v>
      </c>
      <c r="AG17" s="11"/>
      <c r="AH17" s="11"/>
      <c r="AI17" s="11"/>
      <c r="AJ17" s="25">
        <f t="shared" si="13"/>
        <v>0</v>
      </c>
      <c r="AK17" s="11"/>
      <c r="AL17" s="11"/>
      <c r="AM17" s="11"/>
      <c r="AN17" s="25">
        <f t="shared" si="14"/>
        <v>0</v>
      </c>
      <c r="AO17" s="11"/>
      <c r="AP17" s="11"/>
      <c r="AQ17" s="11"/>
      <c r="AR17" s="25">
        <f t="shared" si="15"/>
        <v>0</v>
      </c>
      <c r="AS17" s="11"/>
      <c r="AT17" s="11"/>
      <c r="AU17" s="11"/>
      <c r="AV17" s="25">
        <f t="shared" si="16"/>
        <v>0</v>
      </c>
      <c r="AW17" s="11"/>
      <c r="AX17" s="11"/>
      <c r="AY17" s="11"/>
      <c r="AZ17" s="25">
        <f t="shared" si="17"/>
        <v>0</v>
      </c>
      <c r="BA17" s="11"/>
      <c r="BB17" s="11"/>
      <c r="BC17" s="11"/>
      <c r="BD17" s="11"/>
    </row>
    <row r="18" spans="1:56" ht="15.75" customHeight="1" x14ac:dyDescent="0.15">
      <c r="A18" s="28" t="s">
        <v>51</v>
      </c>
      <c r="B18" s="11" t="s">
        <v>38</v>
      </c>
      <c r="C18" s="11" t="s">
        <v>38</v>
      </c>
      <c r="D18" s="25" t="s">
        <v>38</v>
      </c>
      <c r="E18" s="11" t="s">
        <v>38</v>
      </c>
      <c r="F18" s="11" t="s">
        <v>38</v>
      </c>
      <c r="G18" s="11" t="s">
        <v>38</v>
      </c>
      <c r="H18" s="25" t="s">
        <v>38</v>
      </c>
      <c r="I18" s="11" t="s">
        <v>38</v>
      </c>
      <c r="J18" s="11" t="s">
        <v>38</v>
      </c>
      <c r="K18" s="11" t="s">
        <v>38</v>
      </c>
      <c r="L18" s="25" t="s">
        <v>38</v>
      </c>
      <c r="M18" s="11" t="s">
        <v>38</v>
      </c>
      <c r="N18" s="11" t="s">
        <v>38</v>
      </c>
      <c r="O18" s="11" t="s">
        <v>38</v>
      </c>
      <c r="P18" s="25" t="s">
        <v>38</v>
      </c>
      <c r="Q18" s="11" t="s">
        <v>38</v>
      </c>
      <c r="R18" s="11" t="s">
        <v>38</v>
      </c>
      <c r="S18" s="11" t="s">
        <v>38</v>
      </c>
      <c r="T18" s="25" t="s">
        <v>38</v>
      </c>
      <c r="U18" s="11" t="s">
        <v>38</v>
      </c>
      <c r="V18" s="11" t="s">
        <v>38</v>
      </c>
      <c r="W18" s="11" t="s">
        <v>38</v>
      </c>
      <c r="X18" s="25" t="s">
        <v>38</v>
      </c>
      <c r="Y18" s="11" t="s">
        <v>38</v>
      </c>
      <c r="Z18" s="11">
        <v>82730</v>
      </c>
      <c r="AA18" s="11">
        <v>56.7</v>
      </c>
      <c r="AB18" s="11">
        <v>23.9</v>
      </c>
      <c r="AC18" s="31"/>
      <c r="AD18" s="11">
        <v>6</v>
      </c>
      <c r="AE18" s="11">
        <v>1.72</v>
      </c>
      <c r="AF18" s="25">
        <f t="shared" si="12"/>
        <v>0.86</v>
      </c>
      <c r="AG18" s="11">
        <v>24.5</v>
      </c>
      <c r="AH18" s="11">
        <v>5.8</v>
      </c>
      <c r="AI18" s="11">
        <v>1.73</v>
      </c>
      <c r="AJ18" s="25">
        <f t="shared" si="13"/>
        <v>0.86499999999999999</v>
      </c>
      <c r="AK18" s="11">
        <v>24</v>
      </c>
      <c r="AL18" s="11">
        <v>5.8</v>
      </c>
      <c r="AM18" s="11">
        <v>1.73</v>
      </c>
      <c r="AN18" s="25">
        <f t="shared" si="14"/>
        <v>0.86499999999999999</v>
      </c>
      <c r="AO18" s="11">
        <v>23.9</v>
      </c>
      <c r="AP18" s="11">
        <v>5.7</v>
      </c>
      <c r="AQ18" s="11">
        <v>1.64</v>
      </c>
      <c r="AR18" s="25">
        <f t="shared" si="15"/>
        <v>0.82</v>
      </c>
      <c r="AS18" s="11">
        <v>24.1</v>
      </c>
      <c r="AT18" s="11">
        <v>6</v>
      </c>
      <c r="AU18" s="11">
        <v>1.64</v>
      </c>
      <c r="AV18" s="25">
        <f t="shared" si="16"/>
        <v>0.82</v>
      </c>
      <c r="AW18" s="11">
        <v>25</v>
      </c>
      <c r="AX18" s="11">
        <v>5.8</v>
      </c>
      <c r="AY18" s="11">
        <v>1.66</v>
      </c>
      <c r="AZ18" s="25">
        <f t="shared" si="17"/>
        <v>0.83</v>
      </c>
      <c r="BA18" s="11">
        <v>26.7</v>
      </c>
      <c r="BB18" s="11"/>
      <c r="BC18" s="11"/>
      <c r="BD18" s="11"/>
    </row>
    <row r="19" spans="1:56" ht="15.75" customHeight="1" x14ac:dyDescent="0.15">
      <c r="A19" s="28" t="s">
        <v>52</v>
      </c>
      <c r="B19" s="11">
        <v>6.4</v>
      </c>
      <c r="C19" s="11">
        <v>1.82</v>
      </c>
      <c r="D19" s="25">
        <f t="shared" ref="D19:D22" si="18">C19/2</f>
        <v>0.91</v>
      </c>
      <c r="E19" s="11">
        <v>21.6</v>
      </c>
      <c r="F19" s="11">
        <v>6</v>
      </c>
      <c r="G19" s="11">
        <v>1.8</v>
      </c>
      <c r="H19" s="25">
        <f t="shared" ref="H19:H22" si="19">G19/2</f>
        <v>0.9</v>
      </c>
      <c r="I19" s="11">
        <v>21.2</v>
      </c>
      <c r="J19" s="11">
        <v>5.9</v>
      </c>
      <c r="K19" s="11">
        <v>1.82</v>
      </c>
      <c r="L19" s="25">
        <f t="shared" ref="L19:L22" si="20">K19/2</f>
        <v>0.91</v>
      </c>
      <c r="M19" s="11">
        <v>22.1</v>
      </c>
      <c r="N19" s="11">
        <v>5.7</v>
      </c>
      <c r="O19" s="11">
        <v>1.81</v>
      </c>
      <c r="P19" s="25">
        <f t="shared" ref="P19:P22" si="21">O19/2</f>
        <v>0.90500000000000003</v>
      </c>
      <c r="Q19" s="11">
        <v>22.9</v>
      </c>
      <c r="R19" s="11">
        <v>5.9</v>
      </c>
      <c r="S19" s="11">
        <v>1.82</v>
      </c>
      <c r="T19" s="25">
        <f t="shared" ref="T19:T28" si="22">S19/2</f>
        <v>0.91</v>
      </c>
      <c r="U19" s="11">
        <v>22</v>
      </c>
      <c r="V19" s="11">
        <v>5.8</v>
      </c>
      <c r="W19" s="11">
        <v>1.81</v>
      </c>
      <c r="X19" s="25">
        <f t="shared" ref="X19:X22" si="23">W19/2</f>
        <v>0.90500000000000003</v>
      </c>
      <c r="Y19" s="11">
        <v>24.9</v>
      </c>
      <c r="Z19" s="11"/>
      <c r="AA19" s="11"/>
      <c r="AB19" s="11"/>
      <c r="AC19" s="31"/>
      <c r="AD19" s="11"/>
      <c r="AE19" s="11"/>
      <c r="AF19" s="25">
        <f t="shared" si="12"/>
        <v>0</v>
      </c>
      <c r="AG19" s="11"/>
      <c r="AH19" s="11"/>
      <c r="AI19" s="11"/>
      <c r="AJ19" s="25">
        <f t="shared" si="13"/>
        <v>0</v>
      </c>
      <c r="AK19" s="11"/>
      <c r="AL19" s="11"/>
      <c r="AM19" s="11"/>
      <c r="AN19" s="25">
        <f t="shared" si="14"/>
        <v>0</v>
      </c>
      <c r="AO19" s="11"/>
      <c r="AP19" s="11"/>
      <c r="AQ19" s="11"/>
      <c r="AR19" s="25">
        <f t="shared" si="15"/>
        <v>0</v>
      </c>
      <c r="AS19" s="11"/>
      <c r="AT19" s="11"/>
      <c r="AU19" s="11"/>
      <c r="AV19" s="25">
        <f t="shared" si="16"/>
        <v>0</v>
      </c>
      <c r="AW19" s="11"/>
      <c r="AX19" s="11"/>
      <c r="AY19" s="11"/>
      <c r="AZ19" s="25">
        <f t="shared" si="17"/>
        <v>0</v>
      </c>
      <c r="BA19" s="11"/>
      <c r="BB19" s="11"/>
      <c r="BC19" s="11"/>
      <c r="BD19" s="11"/>
    </row>
    <row r="20" spans="1:56" ht="15.75" customHeight="1" x14ac:dyDescent="0.15">
      <c r="A20" s="28" t="s">
        <v>53</v>
      </c>
      <c r="B20" s="11">
        <v>6.3</v>
      </c>
      <c r="C20" s="11">
        <v>1.81</v>
      </c>
      <c r="D20" s="25">
        <f t="shared" si="18"/>
        <v>0.90500000000000003</v>
      </c>
      <c r="E20" s="11">
        <v>22.8</v>
      </c>
      <c r="F20" s="11">
        <v>6</v>
      </c>
      <c r="G20" s="11">
        <v>1.81</v>
      </c>
      <c r="H20" s="25">
        <f t="shared" si="19"/>
        <v>0.90500000000000003</v>
      </c>
      <c r="I20" s="11">
        <v>21.9</v>
      </c>
      <c r="J20" s="11">
        <v>5.9</v>
      </c>
      <c r="K20" s="11">
        <v>1.82</v>
      </c>
      <c r="L20" s="25">
        <f t="shared" si="20"/>
        <v>0.91</v>
      </c>
      <c r="M20" s="11">
        <v>22.7</v>
      </c>
      <c r="N20" s="11">
        <v>5.7</v>
      </c>
      <c r="O20" s="11">
        <v>1.79</v>
      </c>
      <c r="P20" s="25">
        <f t="shared" si="21"/>
        <v>0.89500000000000002</v>
      </c>
      <c r="Q20" s="11">
        <v>24.1</v>
      </c>
      <c r="R20" s="11">
        <v>6</v>
      </c>
      <c r="S20" s="11">
        <v>1.83</v>
      </c>
      <c r="T20" s="25">
        <f t="shared" si="22"/>
        <v>0.91500000000000004</v>
      </c>
      <c r="U20" s="11">
        <v>21.4</v>
      </c>
      <c r="V20" s="11">
        <v>5.8</v>
      </c>
      <c r="W20" s="11">
        <v>1.84</v>
      </c>
      <c r="X20" s="25">
        <f t="shared" si="23"/>
        <v>0.92</v>
      </c>
      <c r="Y20" s="11">
        <v>26.6</v>
      </c>
      <c r="Z20" s="11">
        <v>74420</v>
      </c>
      <c r="AA20" s="11">
        <v>41.1</v>
      </c>
      <c r="AB20" s="11">
        <v>28.6</v>
      </c>
      <c r="AC20" s="31"/>
      <c r="AD20" s="11">
        <v>6.1</v>
      </c>
      <c r="AE20" s="11">
        <v>1.82</v>
      </c>
      <c r="AF20" s="25">
        <f t="shared" si="12"/>
        <v>0.91</v>
      </c>
      <c r="AG20" s="11">
        <v>27.9</v>
      </c>
      <c r="AH20" s="11">
        <v>6</v>
      </c>
      <c r="AI20" s="11">
        <v>1.82</v>
      </c>
      <c r="AJ20" s="25">
        <f t="shared" si="13"/>
        <v>0.91</v>
      </c>
      <c r="AK20" s="11">
        <v>24.8</v>
      </c>
      <c r="AL20" s="11">
        <v>5.9</v>
      </c>
      <c r="AM20" s="11">
        <v>1.82</v>
      </c>
      <c r="AN20" s="25">
        <f t="shared" si="14"/>
        <v>0.91</v>
      </c>
      <c r="AO20" s="11">
        <v>24.3</v>
      </c>
      <c r="AP20" s="11">
        <v>5.8</v>
      </c>
      <c r="AQ20" s="11">
        <v>1.81</v>
      </c>
      <c r="AR20" s="25">
        <f t="shared" si="15"/>
        <v>0.90500000000000003</v>
      </c>
      <c r="AS20" s="11">
        <v>25.2</v>
      </c>
      <c r="AT20" s="11">
        <v>6.1</v>
      </c>
      <c r="AU20" s="11">
        <v>1.82</v>
      </c>
      <c r="AV20" s="25">
        <f t="shared" si="16"/>
        <v>0.91</v>
      </c>
      <c r="AW20" s="11">
        <v>24.6</v>
      </c>
      <c r="AX20" s="11">
        <v>6</v>
      </c>
      <c r="AY20" s="11">
        <v>1.82</v>
      </c>
      <c r="AZ20" s="25">
        <f t="shared" si="17"/>
        <v>0.91</v>
      </c>
      <c r="BA20" s="11">
        <v>27.7</v>
      </c>
      <c r="BB20" s="11"/>
      <c r="BC20" s="11"/>
      <c r="BD20" s="11"/>
    </row>
    <row r="21" spans="1:56" ht="15.75" customHeight="1" x14ac:dyDescent="0.15">
      <c r="A21" s="28" t="s">
        <v>54</v>
      </c>
      <c r="B21" s="11">
        <v>6.6</v>
      </c>
      <c r="C21" s="11">
        <v>1.77</v>
      </c>
      <c r="D21" s="25">
        <f t="shared" si="18"/>
        <v>0.88500000000000001</v>
      </c>
      <c r="E21" s="11">
        <v>24.2</v>
      </c>
      <c r="F21" s="11">
        <v>6.4</v>
      </c>
      <c r="G21" s="11">
        <v>1.76</v>
      </c>
      <c r="H21" s="25">
        <f t="shared" si="19"/>
        <v>0.88</v>
      </c>
      <c r="I21" s="11">
        <v>24</v>
      </c>
      <c r="J21" s="11">
        <v>6.2</v>
      </c>
      <c r="K21" s="11">
        <v>1.78</v>
      </c>
      <c r="L21" s="25">
        <f t="shared" si="20"/>
        <v>0.89</v>
      </c>
      <c r="M21" s="11">
        <v>24.6</v>
      </c>
      <c r="N21" s="11">
        <v>6.2</v>
      </c>
      <c r="O21" s="11">
        <v>1.77</v>
      </c>
      <c r="P21" s="25">
        <f t="shared" si="21"/>
        <v>0.88500000000000001</v>
      </c>
      <c r="Q21" s="11">
        <v>25.5</v>
      </c>
      <c r="R21" s="11">
        <v>6.5</v>
      </c>
      <c r="S21" s="11">
        <v>1.78</v>
      </c>
      <c r="T21" s="25">
        <f t="shared" si="22"/>
        <v>0.89</v>
      </c>
      <c r="U21" s="11">
        <v>24.1</v>
      </c>
      <c r="V21" s="11">
        <v>6.5</v>
      </c>
      <c r="W21" s="11">
        <v>1.82</v>
      </c>
      <c r="X21" s="25">
        <f t="shared" si="23"/>
        <v>0.91</v>
      </c>
      <c r="Y21" s="11">
        <v>27.9</v>
      </c>
      <c r="Z21" s="11">
        <v>79530</v>
      </c>
      <c r="AA21" s="11">
        <v>52.6</v>
      </c>
      <c r="AB21" s="11">
        <v>25.7</v>
      </c>
      <c r="AC21" s="31"/>
      <c r="AD21" s="11">
        <v>6.6</v>
      </c>
      <c r="AE21" s="11">
        <v>1.8</v>
      </c>
      <c r="AF21" s="25">
        <f t="shared" si="12"/>
        <v>0.9</v>
      </c>
      <c r="AG21" s="11">
        <v>26</v>
      </c>
      <c r="AH21" s="11">
        <v>6.6</v>
      </c>
      <c r="AI21" s="11">
        <v>1.77</v>
      </c>
      <c r="AJ21" s="25">
        <f t="shared" si="13"/>
        <v>0.88500000000000001</v>
      </c>
      <c r="AK21" s="11">
        <v>25.3</v>
      </c>
      <c r="AL21" s="11">
        <v>6.4</v>
      </c>
      <c r="AM21" s="11">
        <v>1.78</v>
      </c>
      <c r="AN21" s="25">
        <f t="shared" si="14"/>
        <v>0.89</v>
      </c>
      <c r="AO21" s="11">
        <v>25</v>
      </c>
      <c r="AP21" s="11">
        <v>6.3</v>
      </c>
      <c r="AQ21" s="11">
        <v>1.76</v>
      </c>
      <c r="AR21" s="25">
        <f t="shared" si="15"/>
        <v>0.88</v>
      </c>
      <c r="AS21" s="11">
        <v>26.7</v>
      </c>
      <c r="AT21" s="11">
        <v>6.7</v>
      </c>
      <c r="AU21" s="11">
        <v>1.78</v>
      </c>
      <c r="AV21" s="25">
        <f t="shared" si="16"/>
        <v>0.89</v>
      </c>
      <c r="AW21" s="11">
        <v>25.7</v>
      </c>
      <c r="AX21" s="11">
        <v>6.1</v>
      </c>
      <c r="AY21" s="11">
        <v>1.82</v>
      </c>
      <c r="AZ21" s="25">
        <f t="shared" si="17"/>
        <v>0.91</v>
      </c>
      <c r="BA21" s="11">
        <v>27.9</v>
      </c>
      <c r="BB21" s="11">
        <v>36530</v>
      </c>
      <c r="BC21" s="11">
        <v>54.8</v>
      </c>
      <c r="BD21" s="11">
        <v>25.1</v>
      </c>
    </row>
    <row r="22" spans="1:56" ht="15.75" customHeight="1" x14ac:dyDescent="0.15">
      <c r="A22" s="28" t="s">
        <v>55</v>
      </c>
      <c r="B22" s="11">
        <v>6.4</v>
      </c>
      <c r="C22" s="11">
        <v>1.78</v>
      </c>
      <c r="D22" s="25">
        <f t="shared" si="18"/>
        <v>0.89</v>
      </c>
      <c r="E22" s="11">
        <v>24.2</v>
      </c>
      <c r="F22" s="11">
        <v>6.2</v>
      </c>
      <c r="G22" s="11">
        <v>1.77</v>
      </c>
      <c r="H22" s="25">
        <f t="shared" si="19"/>
        <v>0.88500000000000001</v>
      </c>
      <c r="I22" s="11">
        <v>23.9</v>
      </c>
      <c r="J22" s="11">
        <v>6.1</v>
      </c>
      <c r="K22" s="11">
        <v>1.79</v>
      </c>
      <c r="L22" s="25">
        <f t="shared" si="20"/>
        <v>0.89500000000000002</v>
      </c>
      <c r="M22" s="11">
        <v>24.9</v>
      </c>
      <c r="N22" s="11">
        <v>6</v>
      </c>
      <c r="O22" s="11">
        <v>1.8</v>
      </c>
      <c r="P22" s="25">
        <f t="shared" si="21"/>
        <v>0.9</v>
      </c>
      <c r="Q22" s="11">
        <v>23.7</v>
      </c>
      <c r="R22" s="11">
        <v>6.1</v>
      </c>
      <c r="S22" s="11">
        <v>1.8</v>
      </c>
      <c r="T22" s="25">
        <f t="shared" si="22"/>
        <v>0.9</v>
      </c>
      <c r="U22" s="11">
        <v>23.7</v>
      </c>
      <c r="V22" s="11">
        <v>6</v>
      </c>
      <c r="W22" s="11">
        <v>1.82</v>
      </c>
      <c r="X22" s="25">
        <f t="shared" si="23"/>
        <v>0.91</v>
      </c>
      <c r="Y22" s="11">
        <v>28.2</v>
      </c>
      <c r="Z22" s="11">
        <v>47100</v>
      </c>
      <c r="AA22" s="11">
        <v>58.7</v>
      </c>
      <c r="AB22" s="11">
        <v>23.8</v>
      </c>
      <c r="AC22" s="30"/>
      <c r="AD22" s="11"/>
      <c r="AE22" s="11"/>
      <c r="AF22" s="25">
        <f t="shared" si="12"/>
        <v>0</v>
      </c>
      <c r="AG22" s="11"/>
      <c r="AH22" s="11"/>
      <c r="AI22" s="11"/>
      <c r="AJ22" s="25">
        <f t="shared" si="13"/>
        <v>0</v>
      </c>
      <c r="AK22" s="11"/>
      <c r="AL22" s="11"/>
      <c r="AM22" s="11"/>
      <c r="AN22" s="25">
        <f t="shared" si="14"/>
        <v>0</v>
      </c>
      <c r="AO22" s="11"/>
      <c r="AP22" s="11"/>
      <c r="AQ22" s="11"/>
      <c r="AR22" s="25">
        <f t="shared" si="15"/>
        <v>0</v>
      </c>
      <c r="AS22" s="11"/>
      <c r="AT22" s="11"/>
      <c r="AU22" s="11"/>
      <c r="AV22" s="25">
        <f t="shared" si="16"/>
        <v>0</v>
      </c>
      <c r="AW22" s="11"/>
      <c r="AX22" s="11"/>
      <c r="AY22" s="11"/>
      <c r="AZ22" s="25">
        <f t="shared" si="17"/>
        <v>0</v>
      </c>
      <c r="BA22" s="11"/>
      <c r="BB22" s="11"/>
      <c r="BC22" s="11"/>
      <c r="BD22" s="11"/>
    </row>
    <row r="23" spans="1:56" ht="15.75" customHeight="1" x14ac:dyDescent="0.15">
      <c r="A23" s="24" t="s">
        <v>56</v>
      </c>
      <c r="B23" s="11" t="s">
        <v>38</v>
      </c>
      <c r="C23" s="11" t="s">
        <v>38</v>
      </c>
      <c r="D23" s="11" t="s">
        <v>38</v>
      </c>
      <c r="E23" s="11" t="s">
        <v>38</v>
      </c>
      <c r="F23" s="11" t="s">
        <v>38</v>
      </c>
      <c r="G23" s="11" t="s">
        <v>38</v>
      </c>
      <c r="H23" s="25" t="s">
        <v>38</v>
      </c>
      <c r="I23" s="11" t="s">
        <v>38</v>
      </c>
      <c r="J23" s="11" t="s">
        <v>38</v>
      </c>
      <c r="K23" s="11" t="s">
        <v>38</v>
      </c>
      <c r="L23" s="11" t="s">
        <v>38</v>
      </c>
      <c r="M23" s="11" t="s">
        <v>38</v>
      </c>
      <c r="N23" s="11" t="s">
        <v>38</v>
      </c>
      <c r="O23" s="11" t="s">
        <v>38</v>
      </c>
      <c r="P23" s="25" t="s">
        <v>38</v>
      </c>
      <c r="Q23" s="11" t="s">
        <v>38</v>
      </c>
      <c r="R23" s="11" t="s">
        <v>38</v>
      </c>
      <c r="S23" s="11" t="s">
        <v>38</v>
      </c>
      <c r="T23" s="25" t="e">
        <f t="shared" si="22"/>
        <v>#VALUE!</v>
      </c>
      <c r="U23" s="11" t="s">
        <v>38</v>
      </c>
      <c r="V23" s="11" t="s">
        <v>38</v>
      </c>
      <c r="W23" s="11" t="s">
        <v>38</v>
      </c>
      <c r="X23" s="25" t="s">
        <v>38</v>
      </c>
      <c r="Y23" s="11" t="s">
        <v>38</v>
      </c>
      <c r="Z23" s="11"/>
      <c r="AA23" s="11"/>
      <c r="AB23" s="11"/>
      <c r="AC23" s="30"/>
      <c r="AD23" s="11">
        <v>6.7</v>
      </c>
      <c r="AE23" s="11">
        <v>1.87</v>
      </c>
      <c r="AF23" s="25">
        <f t="shared" si="12"/>
        <v>0.93500000000000005</v>
      </c>
      <c r="AG23" s="11">
        <v>26.7</v>
      </c>
      <c r="AH23" s="11">
        <v>6.8</v>
      </c>
      <c r="AI23" s="11">
        <v>1.76</v>
      </c>
      <c r="AJ23" s="25">
        <f t="shared" si="13"/>
        <v>0.88</v>
      </c>
      <c r="AK23" s="11">
        <v>25.9</v>
      </c>
      <c r="AL23" s="11">
        <v>6.6</v>
      </c>
      <c r="AM23" s="11">
        <v>1.78</v>
      </c>
      <c r="AN23" s="25">
        <f t="shared" si="14"/>
        <v>0.89</v>
      </c>
      <c r="AO23" s="11">
        <v>26.2</v>
      </c>
      <c r="AP23" s="11">
        <v>6.6</v>
      </c>
      <c r="AQ23" s="11">
        <v>1.85</v>
      </c>
      <c r="AR23" s="25">
        <f t="shared" si="15"/>
        <v>0.92500000000000004</v>
      </c>
      <c r="AS23" s="11">
        <v>25.8</v>
      </c>
      <c r="AT23" s="11">
        <v>6.7</v>
      </c>
      <c r="AU23" s="11">
        <v>1.76</v>
      </c>
      <c r="AV23" s="25">
        <f t="shared" si="16"/>
        <v>0.88</v>
      </c>
      <c r="AW23" s="11">
        <v>26.3</v>
      </c>
      <c r="AX23" s="11">
        <v>6.7</v>
      </c>
      <c r="AY23" s="11">
        <v>1.78</v>
      </c>
      <c r="AZ23" s="25">
        <f t="shared" si="17"/>
        <v>0.89</v>
      </c>
      <c r="BA23" s="11">
        <v>27.2</v>
      </c>
      <c r="BB23" s="11"/>
      <c r="BC23" s="11"/>
      <c r="BD23" s="11"/>
    </row>
    <row r="24" spans="1:56" ht="15.75" customHeight="1" x14ac:dyDescent="0.15">
      <c r="A24" s="24" t="s">
        <v>57</v>
      </c>
      <c r="B24" s="11">
        <v>6.9</v>
      </c>
      <c r="C24" s="11">
        <v>1.71</v>
      </c>
      <c r="D24" s="25">
        <f t="shared" ref="D24:D28" si="24">C24/2</f>
        <v>0.85499999999999998</v>
      </c>
      <c r="E24" s="11">
        <v>26.5</v>
      </c>
      <c r="F24" s="11">
        <v>6.8</v>
      </c>
      <c r="G24" s="11">
        <v>1.67</v>
      </c>
      <c r="H24" s="25">
        <f t="shared" ref="H24:H28" si="25">G24/2</f>
        <v>0.83499999999999996</v>
      </c>
      <c r="I24" s="11">
        <v>25.1</v>
      </c>
      <c r="J24" s="11">
        <v>6.6</v>
      </c>
      <c r="K24" s="11">
        <v>1.67</v>
      </c>
      <c r="L24" s="25">
        <f t="shared" ref="L24:L28" si="26">K24/2</f>
        <v>0.83499999999999996</v>
      </c>
      <c r="M24" s="11">
        <v>25.3</v>
      </c>
      <c r="N24" s="11">
        <v>6.7</v>
      </c>
      <c r="O24" s="11">
        <v>1.72</v>
      </c>
      <c r="P24" s="25">
        <f t="shared" ref="P24:P28" si="27">O24/2</f>
        <v>0.86</v>
      </c>
      <c r="Q24" s="11">
        <v>24.9</v>
      </c>
      <c r="R24" s="11">
        <v>6.9</v>
      </c>
      <c r="S24" s="11">
        <v>1.65</v>
      </c>
      <c r="T24" s="25">
        <f t="shared" si="22"/>
        <v>0.82499999999999996</v>
      </c>
      <c r="U24" s="11">
        <v>24.3</v>
      </c>
      <c r="V24" s="11">
        <v>6.7</v>
      </c>
      <c r="W24" s="11">
        <v>1.67</v>
      </c>
      <c r="X24" s="25">
        <f t="shared" ref="X24:X28" si="28">W24/2</f>
        <v>0.83499999999999996</v>
      </c>
      <c r="Y24" s="11">
        <v>24</v>
      </c>
      <c r="Z24" s="11"/>
      <c r="AA24" s="11"/>
      <c r="AB24" s="11"/>
      <c r="AC24" s="30"/>
      <c r="AD24" s="11">
        <v>6.7</v>
      </c>
      <c r="AE24" s="11">
        <v>1.73</v>
      </c>
      <c r="AF24" s="25">
        <f t="shared" si="12"/>
        <v>0.86499999999999999</v>
      </c>
      <c r="AG24" s="11">
        <v>27.9</v>
      </c>
      <c r="AH24" s="11">
        <v>6.8</v>
      </c>
      <c r="AI24" s="11">
        <v>1.67</v>
      </c>
      <c r="AJ24" s="25">
        <f t="shared" si="13"/>
        <v>0.83499999999999996</v>
      </c>
      <c r="AK24" s="11">
        <v>27.5</v>
      </c>
      <c r="AL24" s="11">
        <v>6.7</v>
      </c>
      <c r="AM24" s="11">
        <v>1.74</v>
      </c>
      <c r="AN24" s="25">
        <f t="shared" si="14"/>
        <v>0.87</v>
      </c>
      <c r="AO24" s="11">
        <v>27.5</v>
      </c>
      <c r="AP24" s="11">
        <v>6.7</v>
      </c>
      <c r="AQ24" s="11">
        <v>1.74</v>
      </c>
      <c r="AR24" s="25">
        <f t="shared" si="15"/>
        <v>0.87</v>
      </c>
      <c r="AS24" s="11">
        <v>27.5</v>
      </c>
      <c r="AT24" s="11">
        <v>6.6</v>
      </c>
      <c r="AU24" s="11">
        <v>1.73</v>
      </c>
      <c r="AV24" s="25">
        <f t="shared" si="16"/>
        <v>0.86499999999999999</v>
      </c>
      <c r="AW24" s="11">
        <v>28.7</v>
      </c>
      <c r="AX24" s="11">
        <v>7.2</v>
      </c>
      <c r="AY24" s="11">
        <v>1.43</v>
      </c>
      <c r="AZ24" s="25">
        <f t="shared" si="17"/>
        <v>0.71499999999999997</v>
      </c>
      <c r="BA24" s="11">
        <v>28.5</v>
      </c>
      <c r="BB24" s="11"/>
      <c r="BC24" s="11"/>
      <c r="BD24" s="11"/>
    </row>
    <row r="25" spans="1:56" ht="15.75" customHeight="1" x14ac:dyDescent="0.15">
      <c r="A25" s="24" t="s">
        <v>58</v>
      </c>
      <c r="B25" s="11"/>
      <c r="C25" s="11"/>
      <c r="D25" s="25">
        <f t="shared" si="24"/>
        <v>0</v>
      </c>
      <c r="E25" s="11"/>
      <c r="F25" s="11"/>
      <c r="G25" s="11"/>
      <c r="H25" s="25">
        <f t="shared" si="25"/>
        <v>0</v>
      </c>
      <c r="I25" s="11"/>
      <c r="J25" s="11"/>
      <c r="K25" s="11"/>
      <c r="L25" s="25">
        <f t="shared" si="26"/>
        <v>0</v>
      </c>
      <c r="M25" s="11"/>
      <c r="N25" s="11"/>
      <c r="O25" s="11"/>
      <c r="P25" s="25">
        <f t="shared" si="27"/>
        <v>0</v>
      </c>
      <c r="Q25" s="11"/>
      <c r="R25" s="11"/>
      <c r="S25" s="11"/>
      <c r="T25" s="25">
        <f t="shared" si="22"/>
        <v>0</v>
      </c>
      <c r="U25" s="11"/>
      <c r="V25" s="11"/>
      <c r="W25" s="11"/>
      <c r="X25" s="25">
        <f t="shared" si="28"/>
        <v>0</v>
      </c>
      <c r="Y25" s="11"/>
      <c r="Z25" s="11">
        <v>77820</v>
      </c>
      <c r="AA25" s="11">
        <v>60.1</v>
      </c>
      <c r="AB25" s="11">
        <v>29.6</v>
      </c>
      <c r="AC25" s="31"/>
      <c r="AD25" s="11"/>
      <c r="AE25" s="11"/>
      <c r="AF25" s="25">
        <f t="shared" si="12"/>
        <v>0</v>
      </c>
      <c r="AG25" s="11"/>
      <c r="AH25" s="11"/>
      <c r="AI25" s="11"/>
      <c r="AJ25" s="25">
        <f t="shared" si="13"/>
        <v>0</v>
      </c>
      <c r="AK25" s="11"/>
      <c r="AL25" s="11"/>
      <c r="AM25" s="11"/>
      <c r="AN25" s="25">
        <f t="shared" si="14"/>
        <v>0</v>
      </c>
      <c r="AO25" s="11"/>
      <c r="AP25" s="11"/>
      <c r="AQ25" s="11"/>
      <c r="AR25" s="25">
        <f t="shared" si="15"/>
        <v>0</v>
      </c>
      <c r="AS25" s="11"/>
      <c r="AT25" s="11"/>
      <c r="AU25" s="11"/>
      <c r="AV25" s="25">
        <f t="shared" si="16"/>
        <v>0</v>
      </c>
      <c r="AW25" s="11"/>
      <c r="AX25" s="11"/>
      <c r="AY25" s="11"/>
      <c r="AZ25" s="25">
        <f t="shared" si="17"/>
        <v>0</v>
      </c>
      <c r="BA25" s="11"/>
      <c r="BB25" s="11"/>
      <c r="BC25" s="11"/>
      <c r="BD25" s="11"/>
    </row>
    <row r="26" spans="1:56" ht="15.75" customHeight="1" x14ac:dyDescent="0.15">
      <c r="A26" s="32">
        <v>45295</v>
      </c>
      <c r="B26" s="11">
        <v>6.8</v>
      </c>
      <c r="C26" s="11">
        <v>1.58</v>
      </c>
      <c r="D26" s="25">
        <f t="shared" si="24"/>
        <v>0.79</v>
      </c>
      <c r="E26" s="11">
        <v>25.2</v>
      </c>
      <c r="F26" s="11">
        <v>6.7</v>
      </c>
      <c r="G26" s="11">
        <v>1.51</v>
      </c>
      <c r="H26" s="25">
        <f t="shared" si="25"/>
        <v>0.755</v>
      </c>
      <c r="I26" s="11">
        <v>25.2</v>
      </c>
      <c r="J26" s="11">
        <v>6.6</v>
      </c>
      <c r="K26" s="11">
        <v>1.64</v>
      </c>
      <c r="L26" s="25">
        <f t="shared" si="26"/>
        <v>0.82</v>
      </c>
      <c r="M26" s="11">
        <v>25.4</v>
      </c>
      <c r="N26" s="11">
        <v>6.4</v>
      </c>
      <c r="O26" s="11">
        <v>1.67</v>
      </c>
      <c r="P26" s="25">
        <f t="shared" si="27"/>
        <v>0.83499999999999996</v>
      </c>
      <c r="Q26" s="11">
        <v>27.7</v>
      </c>
      <c r="R26" s="11">
        <v>6.8</v>
      </c>
      <c r="S26" s="11">
        <v>1.27</v>
      </c>
      <c r="T26" s="25">
        <f t="shared" si="22"/>
        <v>0.63500000000000001</v>
      </c>
      <c r="U26" s="11">
        <v>25.8</v>
      </c>
      <c r="V26" s="11">
        <v>6.3</v>
      </c>
      <c r="W26" s="11">
        <v>1.63</v>
      </c>
      <c r="X26" s="25">
        <f t="shared" si="28"/>
        <v>0.81499999999999995</v>
      </c>
      <c r="Y26" s="11">
        <v>29.2</v>
      </c>
      <c r="Z26" s="11"/>
      <c r="AA26" s="11"/>
      <c r="AB26" s="11"/>
      <c r="AC26" s="31"/>
      <c r="AD26" s="11">
        <v>6.8</v>
      </c>
      <c r="AE26" s="11">
        <v>1.23</v>
      </c>
      <c r="AF26" s="25">
        <f t="shared" si="12"/>
        <v>0.61499999999999999</v>
      </c>
      <c r="AG26" s="11">
        <v>27.4</v>
      </c>
      <c r="AH26" s="11">
        <v>6.9</v>
      </c>
      <c r="AI26" s="11">
        <v>1.1499999999999999</v>
      </c>
      <c r="AJ26" s="25">
        <f t="shared" si="13"/>
        <v>0.57499999999999996</v>
      </c>
      <c r="AK26" s="11">
        <v>26.9</v>
      </c>
      <c r="AL26" s="11">
        <v>6.9</v>
      </c>
      <c r="AM26" s="11">
        <v>1.29</v>
      </c>
      <c r="AN26" s="25">
        <f t="shared" si="14"/>
        <v>0.64500000000000002</v>
      </c>
      <c r="AO26" s="11">
        <v>26.7</v>
      </c>
      <c r="AP26" s="11">
        <v>6.6</v>
      </c>
      <c r="AQ26" s="11">
        <v>1.51</v>
      </c>
      <c r="AR26" s="25">
        <f t="shared" si="15"/>
        <v>0.755</v>
      </c>
      <c r="AS26" s="11">
        <v>27.2</v>
      </c>
      <c r="AT26" s="11">
        <v>7.3</v>
      </c>
      <c r="AU26" s="11">
        <v>0.92</v>
      </c>
      <c r="AV26" s="25">
        <f t="shared" si="16"/>
        <v>0.46</v>
      </c>
      <c r="AW26" s="11">
        <v>27.2</v>
      </c>
      <c r="AX26" s="11">
        <v>7</v>
      </c>
      <c r="AY26" s="11">
        <v>1.17</v>
      </c>
      <c r="AZ26" s="25">
        <f t="shared" si="17"/>
        <v>0.58499999999999996</v>
      </c>
      <c r="BA26" s="11">
        <v>28.3</v>
      </c>
      <c r="BB26" s="11"/>
      <c r="BC26" s="11"/>
      <c r="BD26" s="11"/>
    </row>
    <row r="27" spans="1:56" ht="15.75" customHeight="1" x14ac:dyDescent="0.15">
      <c r="A27" s="32">
        <v>45326</v>
      </c>
      <c r="B27" s="11">
        <v>6.4</v>
      </c>
      <c r="C27" s="11">
        <v>1.7</v>
      </c>
      <c r="D27" s="25">
        <f t="shared" si="24"/>
        <v>0.85</v>
      </c>
      <c r="E27" s="11">
        <v>25</v>
      </c>
      <c r="F27" s="11">
        <v>6.2</v>
      </c>
      <c r="G27" s="11">
        <v>1.83</v>
      </c>
      <c r="H27" s="25">
        <f t="shared" si="25"/>
        <v>0.91500000000000004</v>
      </c>
      <c r="I27" s="11">
        <v>25.4</v>
      </c>
      <c r="J27" s="11">
        <v>6.4</v>
      </c>
      <c r="K27" s="11">
        <v>1.6</v>
      </c>
      <c r="L27" s="25">
        <f t="shared" si="26"/>
        <v>0.8</v>
      </c>
      <c r="M27" s="11">
        <v>25.5</v>
      </c>
      <c r="N27" s="11">
        <v>6.2</v>
      </c>
      <c r="O27" s="11">
        <v>1.82</v>
      </c>
      <c r="P27" s="25">
        <f t="shared" si="27"/>
        <v>0.91</v>
      </c>
      <c r="Q27" s="11">
        <v>27.8</v>
      </c>
      <c r="R27" s="11">
        <v>6.7</v>
      </c>
      <c r="S27" s="11">
        <v>1.63</v>
      </c>
      <c r="T27" s="25">
        <f t="shared" si="22"/>
        <v>0.81499999999999995</v>
      </c>
      <c r="U27" s="11">
        <v>25.7</v>
      </c>
      <c r="V27" s="11">
        <v>6.4</v>
      </c>
      <c r="W27" s="11">
        <v>1.73</v>
      </c>
      <c r="X27" s="25">
        <f t="shared" si="28"/>
        <v>0.86499999999999999</v>
      </c>
      <c r="Y27" s="11">
        <v>28.8</v>
      </c>
      <c r="Z27" s="33"/>
      <c r="AA27" s="33"/>
      <c r="AB27" s="33"/>
      <c r="AC27" s="31"/>
      <c r="AD27" s="11">
        <v>6.3</v>
      </c>
      <c r="AE27" s="11">
        <v>1.7</v>
      </c>
      <c r="AF27" s="25">
        <f t="shared" si="12"/>
        <v>0.85</v>
      </c>
      <c r="AG27" s="11">
        <v>27.3</v>
      </c>
      <c r="AH27" s="11">
        <v>6.1</v>
      </c>
      <c r="AI27" s="11">
        <v>1.82</v>
      </c>
      <c r="AJ27" s="25">
        <f t="shared" si="13"/>
        <v>0.91</v>
      </c>
      <c r="AK27" s="11">
        <v>28</v>
      </c>
      <c r="AL27" s="11">
        <v>6.4</v>
      </c>
      <c r="AM27" s="11">
        <v>1.6</v>
      </c>
      <c r="AN27" s="25">
        <f t="shared" si="14"/>
        <v>0.8</v>
      </c>
      <c r="AO27" s="11">
        <v>27</v>
      </c>
      <c r="AP27" s="11">
        <v>6.2</v>
      </c>
      <c r="AQ27" s="11">
        <v>1.82</v>
      </c>
      <c r="AR27" s="25">
        <f t="shared" si="15"/>
        <v>0.91</v>
      </c>
      <c r="AS27" s="11">
        <v>28.4</v>
      </c>
      <c r="AT27" s="11">
        <v>6.7</v>
      </c>
      <c r="AU27" s="11">
        <v>1.62</v>
      </c>
      <c r="AV27" s="25">
        <f t="shared" si="16"/>
        <v>0.81</v>
      </c>
      <c r="AW27" s="11">
        <v>27.5</v>
      </c>
      <c r="AX27" s="11">
        <v>6.5</v>
      </c>
      <c r="AY27" s="11">
        <v>1.71</v>
      </c>
      <c r="AZ27" s="25">
        <f t="shared" si="17"/>
        <v>0.85499999999999998</v>
      </c>
      <c r="BA27" s="11">
        <v>29.4</v>
      </c>
      <c r="BB27" s="11"/>
      <c r="BC27" s="11"/>
      <c r="BD27" s="11"/>
    </row>
    <row r="28" spans="1:56" ht="15.75" customHeight="1" x14ac:dyDescent="0.15">
      <c r="A28" s="32">
        <v>45355</v>
      </c>
      <c r="B28" s="11">
        <v>6</v>
      </c>
      <c r="C28" s="11">
        <v>1.63</v>
      </c>
      <c r="D28" s="25">
        <f t="shared" si="24"/>
        <v>0.81499999999999995</v>
      </c>
      <c r="E28" s="11">
        <v>24.8</v>
      </c>
      <c r="F28" s="11">
        <v>5.9</v>
      </c>
      <c r="G28" s="11">
        <v>1.76</v>
      </c>
      <c r="H28" s="25">
        <f t="shared" si="25"/>
        <v>0.88</v>
      </c>
      <c r="I28" s="11">
        <v>24.5</v>
      </c>
      <c r="J28" s="11">
        <v>6.3</v>
      </c>
      <c r="K28" s="11">
        <v>1.53</v>
      </c>
      <c r="L28" s="25">
        <f t="shared" si="26"/>
        <v>0.76500000000000001</v>
      </c>
      <c r="M28" s="11">
        <v>25</v>
      </c>
      <c r="N28" s="11">
        <v>6.1</v>
      </c>
      <c r="O28" s="11">
        <v>1.77</v>
      </c>
      <c r="P28" s="25">
        <f t="shared" si="27"/>
        <v>0.88500000000000001</v>
      </c>
      <c r="Q28" s="11">
        <v>27.4</v>
      </c>
      <c r="R28" s="11">
        <v>6.5</v>
      </c>
      <c r="S28" s="11">
        <v>1.56</v>
      </c>
      <c r="T28" s="25">
        <f t="shared" si="22"/>
        <v>0.78</v>
      </c>
      <c r="U28" s="11">
        <v>24.5</v>
      </c>
      <c r="V28" s="11">
        <v>6.4</v>
      </c>
      <c r="W28" s="11">
        <v>1.64</v>
      </c>
      <c r="X28" s="25">
        <f t="shared" si="28"/>
        <v>0.82</v>
      </c>
      <c r="Y28" s="11">
        <v>28.4</v>
      </c>
      <c r="Z28" s="33"/>
      <c r="AA28" s="33"/>
      <c r="AB28" s="33"/>
      <c r="AC28" s="31"/>
      <c r="AD28" s="11">
        <v>6.2</v>
      </c>
      <c r="AE28" s="11">
        <v>1.63</v>
      </c>
      <c r="AF28" s="11"/>
      <c r="AG28" s="11">
        <v>27.1</v>
      </c>
      <c r="AH28" s="11">
        <v>6.1</v>
      </c>
      <c r="AI28" s="11">
        <v>1.76</v>
      </c>
      <c r="AJ28" s="11"/>
      <c r="AK28" s="11">
        <v>26.5</v>
      </c>
      <c r="AL28" s="11">
        <v>6.4</v>
      </c>
      <c r="AM28" s="11">
        <v>1.53</v>
      </c>
      <c r="AN28" s="12"/>
      <c r="AO28" s="11">
        <v>26.6</v>
      </c>
      <c r="AP28" s="11">
        <v>6.2</v>
      </c>
      <c r="AQ28" s="11">
        <v>1.77</v>
      </c>
      <c r="AR28" s="11"/>
      <c r="AS28" s="11">
        <v>28.3</v>
      </c>
      <c r="AT28" s="11">
        <v>6.6</v>
      </c>
      <c r="AU28" s="11">
        <v>1.55</v>
      </c>
      <c r="AV28" s="11"/>
      <c r="AW28" s="11">
        <v>27.2</v>
      </c>
      <c r="AX28" s="11">
        <v>6.5</v>
      </c>
      <c r="AY28" s="11">
        <v>1.65</v>
      </c>
      <c r="AZ28" s="11"/>
      <c r="BA28" s="11">
        <v>28.6</v>
      </c>
      <c r="BB28" s="11">
        <v>65870</v>
      </c>
      <c r="BC28" s="11">
        <v>61.7</v>
      </c>
      <c r="BD28" s="11">
        <v>26.3</v>
      </c>
    </row>
    <row r="29" spans="1:56" ht="15.75" customHeight="1" x14ac:dyDescent="0.15">
      <c r="A29" s="32">
        <v>45386</v>
      </c>
      <c r="B29" s="11" t="s">
        <v>38</v>
      </c>
      <c r="C29" s="11" t="s">
        <v>38</v>
      </c>
      <c r="D29" s="11" t="s">
        <v>38</v>
      </c>
      <c r="E29" s="11" t="s">
        <v>38</v>
      </c>
      <c r="F29" s="11" t="s">
        <v>38</v>
      </c>
      <c r="G29" s="11" t="s">
        <v>38</v>
      </c>
      <c r="H29" s="11" t="s">
        <v>38</v>
      </c>
      <c r="I29" s="11" t="s">
        <v>38</v>
      </c>
      <c r="J29" s="11" t="s">
        <v>38</v>
      </c>
      <c r="K29" s="11" t="s">
        <v>38</v>
      </c>
      <c r="L29" s="11" t="s">
        <v>38</v>
      </c>
      <c r="M29" s="11" t="s">
        <v>38</v>
      </c>
      <c r="N29" s="11" t="s">
        <v>38</v>
      </c>
      <c r="O29" s="11" t="s">
        <v>38</v>
      </c>
      <c r="P29" s="11" t="s">
        <v>38</v>
      </c>
      <c r="Q29" s="11" t="s">
        <v>38</v>
      </c>
      <c r="R29" s="11" t="s">
        <v>38</v>
      </c>
      <c r="S29" s="11" t="s">
        <v>38</v>
      </c>
      <c r="T29" s="11" t="s">
        <v>38</v>
      </c>
      <c r="U29" s="11" t="s">
        <v>38</v>
      </c>
      <c r="V29" s="11" t="s">
        <v>38</v>
      </c>
      <c r="W29" s="11" t="s">
        <v>38</v>
      </c>
      <c r="X29" s="11" t="s">
        <v>38</v>
      </c>
      <c r="Y29" s="11" t="s">
        <v>38</v>
      </c>
      <c r="Z29" s="33"/>
      <c r="AA29" s="33"/>
      <c r="AB29" s="33"/>
      <c r="AC29" s="30"/>
      <c r="AD29" s="11">
        <v>6.1</v>
      </c>
      <c r="AE29" s="11">
        <v>1.76</v>
      </c>
      <c r="AF29" s="11"/>
      <c r="AG29" s="11">
        <v>28.7</v>
      </c>
      <c r="AH29" s="11">
        <v>6</v>
      </c>
      <c r="AI29" s="11">
        <v>1.86</v>
      </c>
      <c r="AJ29" s="11"/>
      <c r="AK29" s="11">
        <v>28.3</v>
      </c>
      <c r="AL29" s="11">
        <v>6</v>
      </c>
      <c r="AM29" s="11">
        <v>1.66</v>
      </c>
      <c r="AN29" s="11"/>
      <c r="AO29" s="11">
        <v>28.1</v>
      </c>
      <c r="AP29" s="11">
        <v>5.8</v>
      </c>
      <c r="AQ29" s="11">
        <v>1.91</v>
      </c>
      <c r="AR29" s="33"/>
      <c r="AS29" s="11">
        <v>29.5</v>
      </c>
      <c r="AT29" s="11">
        <v>6.2</v>
      </c>
      <c r="AU29" s="11">
        <v>1.67</v>
      </c>
      <c r="AV29" s="11"/>
      <c r="AW29" s="11">
        <v>28.8</v>
      </c>
      <c r="AX29" s="11">
        <v>6.1</v>
      </c>
      <c r="AY29" s="11">
        <v>1.76</v>
      </c>
      <c r="AZ29" s="11"/>
      <c r="BA29" s="11">
        <v>30.9</v>
      </c>
      <c r="BB29" s="11">
        <v>69530</v>
      </c>
      <c r="BC29" s="11">
        <v>51.2</v>
      </c>
      <c r="BD29" s="11">
        <v>29.3</v>
      </c>
    </row>
    <row r="30" spans="1:56" ht="15.75" customHeight="1" x14ac:dyDescent="0.15">
      <c r="A30" s="32">
        <v>45416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0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</row>
    <row r="31" spans="1:56" ht="15.75" customHeight="1" x14ac:dyDescent="0.15">
      <c r="A31" s="32">
        <v>45447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0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</row>
    <row r="32" spans="1:56" ht="15.75" customHeight="1" x14ac:dyDescent="0.15">
      <c r="A32" s="32">
        <v>45477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0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</row>
    <row r="33" spans="1:56" ht="15.75" customHeight="1" x14ac:dyDescent="0.15">
      <c r="A33" s="32">
        <v>45508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0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</row>
    <row r="34" spans="1:56" ht="15.75" customHeight="1" x14ac:dyDescent="0.15">
      <c r="A34" s="24"/>
      <c r="AC34" s="31"/>
    </row>
    <row r="35" spans="1:56" ht="15.75" customHeight="1" x14ac:dyDescent="0.15">
      <c r="A35" s="24"/>
      <c r="AC35" s="31"/>
      <c r="BB35" s="14">
        <f t="shared" ref="BB35:BD35" si="29">AVERAGE(BB4:BB33)</f>
        <v>54448.333333333336</v>
      </c>
      <c r="BC35" s="14">
        <f t="shared" si="29"/>
        <v>57.166666666666664</v>
      </c>
      <c r="BD35" s="14">
        <f t="shared" si="29"/>
        <v>25.216666666666669</v>
      </c>
    </row>
    <row r="36" spans="1:56" ht="15.75" customHeight="1" x14ac:dyDescent="0.15">
      <c r="A36" s="24"/>
      <c r="Z36" s="14">
        <f t="shared" ref="Z36:AB36" si="30">AVERAGE(Z4:Z33)</f>
        <v>52900.769230769234</v>
      </c>
      <c r="AA36" s="14">
        <f t="shared" si="30"/>
        <v>58.100000000000016</v>
      </c>
      <c r="AB36" s="14">
        <f t="shared" si="30"/>
        <v>24.392307692307693</v>
      </c>
      <c r="AC36" s="31"/>
    </row>
    <row r="37" spans="1:56" ht="15.75" customHeight="1" x14ac:dyDescent="0.15">
      <c r="A37" s="24"/>
      <c r="AC37" s="31"/>
    </row>
    <row r="38" spans="1:56" ht="15.75" customHeight="1" x14ac:dyDescent="0.15">
      <c r="A38" s="24"/>
      <c r="AC38" s="31"/>
    </row>
    <row r="39" spans="1:56" ht="15.75" customHeight="1" x14ac:dyDescent="0.15">
      <c r="A39" s="24"/>
      <c r="AC39" s="31"/>
    </row>
    <row r="40" spans="1:56" ht="15.75" customHeight="1" x14ac:dyDescent="0.15">
      <c r="A40" s="24"/>
      <c r="AC40" s="31"/>
    </row>
    <row r="41" spans="1:56" ht="15.75" customHeight="1" x14ac:dyDescent="0.15">
      <c r="A41" s="24"/>
      <c r="AC41" s="31"/>
    </row>
    <row r="42" spans="1:56" ht="15.75" customHeight="1" x14ac:dyDescent="0.15">
      <c r="A42" s="24"/>
      <c r="AC42" s="31"/>
    </row>
    <row r="43" spans="1:56" ht="15.75" customHeight="1" x14ac:dyDescent="0.15">
      <c r="A43" s="24"/>
      <c r="AC43" s="31"/>
    </row>
    <row r="44" spans="1:56" ht="15.75" customHeight="1" x14ac:dyDescent="0.15">
      <c r="A44" s="24"/>
      <c r="AC44" s="31"/>
    </row>
    <row r="45" spans="1:56" ht="15.75" customHeight="1" x14ac:dyDescent="0.15">
      <c r="A45" s="24"/>
      <c r="AC45" s="31"/>
    </row>
    <row r="46" spans="1:56" ht="15.75" customHeight="1" x14ac:dyDescent="0.15">
      <c r="A46" s="24"/>
      <c r="AC46" s="31"/>
    </row>
    <row r="47" spans="1:56" ht="15.75" customHeight="1" x14ac:dyDescent="0.15">
      <c r="A47" s="24"/>
      <c r="AC47" s="31"/>
    </row>
    <row r="48" spans="1:56" ht="15.75" customHeight="1" x14ac:dyDescent="0.15">
      <c r="A48" s="24"/>
      <c r="AC48" s="31"/>
    </row>
    <row r="49" spans="1:29" ht="15.75" customHeight="1" x14ac:dyDescent="0.15">
      <c r="A49" s="24"/>
      <c r="AC49" s="31"/>
    </row>
    <row r="50" spans="1:29" ht="15.75" customHeight="1" x14ac:dyDescent="0.15">
      <c r="A50" s="24"/>
      <c r="AC50" s="31"/>
    </row>
    <row r="51" spans="1:29" ht="15.75" customHeight="1" x14ac:dyDescent="0.15">
      <c r="A51" s="24"/>
      <c r="AC51" s="31"/>
    </row>
    <row r="52" spans="1:29" ht="15.75" customHeight="1" x14ac:dyDescent="0.15">
      <c r="A52" s="24"/>
      <c r="AC52" s="31"/>
    </row>
    <row r="53" spans="1:29" ht="15.75" customHeight="1" x14ac:dyDescent="0.15">
      <c r="A53" s="24"/>
      <c r="AC53" s="31"/>
    </row>
    <row r="54" spans="1:29" ht="15.75" customHeight="1" x14ac:dyDescent="0.15">
      <c r="A54" s="24"/>
      <c r="AC54" s="31"/>
    </row>
    <row r="55" spans="1:29" ht="15.75" customHeight="1" x14ac:dyDescent="0.15">
      <c r="A55" s="24"/>
      <c r="AC55" s="31"/>
    </row>
    <row r="56" spans="1:29" ht="15.75" customHeight="1" x14ac:dyDescent="0.15">
      <c r="A56" s="24"/>
      <c r="AC56" s="31"/>
    </row>
    <row r="57" spans="1:29" ht="15.75" customHeight="1" x14ac:dyDescent="0.15">
      <c r="A57" s="24"/>
      <c r="AC57" s="31"/>
    </row>
    <row r="58" spans="1:29" ht="15.75" customHeight="1" x14ac:dyDescent="0.15">
      <c r="A58" s="24"/>
      <c r="AC58" s="31"/>
    </row>
    <row r="59" spans="1:29" ht="15.75" customHeight="1" x14ac:dyDescent="0.15">
      <c r="A59" s="24"/>
      <c r="AC59" s="31"/>
    </row>
    <row r="60" spans="1:29" ht="15.75" customHeight="1" x14ac:dyDescent="0.15">
      <c r="A60" s="24"/>
      <c r="AC60" s="31"/>
    </row>
    <row r="61" spans="1:29" ht="15.75" customHeight="1" x14ac:dyDescent="0.15">
      <c r="A61" s="24"/>
      <c r="AC61" s="31"/>
    </row>
    <row r="62" spans="1:29" ht="15.75" customHeight="1" x14ac:dyDescent="0.15">
      <c r="A62" s="24"/>
      <c r="AC62" s="31"/>
    </row>
    <row r="63" spans="1:29" ht="15.75" customHeight="1" x14ac:dyDescent="0.15">
      <c r="A63" s="24"/>
      <c r="AC63" s="31"/>
    </row>
    <row r="64" spans="1:29" ht="15.75" customHeight="1" x14ac:dyDescent="0.15">
      <c r="A64" s="24"/>
      <c r="AC64" s="31"/>
    </row>
    <row r="65" spans="1:29" ht="15.75" customHeight="1" x14ac:dyDescent="0.15">
      <c r="A65" s="24"/>
      <c r="AC65" s="31"/>
    </row>
    <row r="66" spans="1:29" ht="15.75" customHeight="1" x14ac:dyDescent="0.15">
      <c r="A66" s="24"/>
      <c r="AC66" s="31"/>
    </row>
    <row r="67" spans="1:29" ht="15.75" customHeight="1" x14ac:dyDescent="0.15">
      <c r="A67" s="24"/>
      <c r="AC67" s="31"/>
    </row>
    <row r="68" spans="1:29" ht="15.75" customHeight="1" x14ac:dyDescent="0.15">
      <c r="A68" s="24"/>
      <c r="AC68" s="31"/>
    </row>
    <row r="69" spans="1:29" ht="15.75" customHeight="1" x14ac:dyDescent="0.15">
      <c r="A69" s="24"/>
      <c r="AC69" s="31"/>
    </row>
    <row r="70" spans="1:29" ht="15.75" customHeight="1" x14ac:dyDescent="0.15">
      <c r="A70" s="24"/>
      <c r="AC70" s="31"/>
    </row>
    <row r="71" spans="1:29" ht="15.75" customHeight="1" x14ac:dyDescent="0.15">
      <c r="A71" s="24"/>
      <c r="AC71" s="31"/>
    </row>
    <row r="72" spans="1:29" ht="15.75" customHeight="1" x14ac:dyDescent="0.15">
      <c r="A72" s="24"/>
      <c r="AC72" s="31"/>
    </row>
    <row r="73" spans="1:29" ht="15.75" customHeight="1" x14ac:dyDescent="0.15">
      <c r="A73" s="24"/>
      <c r="AC73" s="31"/>
    </row>
    <row r="74" spans="1:29" ht="15.75" customHeight="1" x14ac:dyDescent="0.15">
      <c r="A74" s="24"/>
      <c r="AC74" s="31"/>
    </row>
    <row r="75" spans="1:29" ht="15.75" customHeight="1" x14ac:dyDescent="0.15">
      <c r="A75" s="24"/>
      <c r="AC75" s="31"/>
    </row>
    <row r="76" spans="1:29" ht="15.75" customHeight="1" x14ac:dyDescent="0.15">
      <c r="A76" s="24"/>
      <c r="AC76" s="31"/>
    </row>
    <row r="77" spans="1:29" ht="15.75" customHeight="1" x14ac:dyDescent="0.15">
      <c r="A77" s="24"/>
      <c r="AC77" s="31"/>
    </row>
    <row r="78" spans="1:29" ht="15.75" customHeight="1" x14ac:dyDescent="0.15">
      <c r="A78" s="24"/>
      <c r="AC78" s="31"/>
    </row>
    <row r="79" spans="1:29" ht="15.75" customHeight="1" x14ac:dyDescent="0.15">
      <c r="A79" s="24"/>
      <c r="AC79" s="31"/>
    </row>
    <row r="80" spans="1:29" ht="15.75" customHeight="1" x14ac:dyDescent="0.15">
      <c r="A80" s="24"/>
      <c r="AC80" s="31"/>
    </row>
    <row r="81" spans="1:29" ht="15.75" customHeight="1" x14ac:dyDescent="0.15">
      <c r="A81" s="24"/>
      <c r="AC81" s="31"/>
    </row>
    <row r="82" spans="1:29" ht="15.75" customHeight="1" x14ac:dyDescent="0.15">
      <c r="A82" s="24"/>
      <c r="AC82" s="31"/>
    </row>
    <row r="83" spans="1:29" ht="15.75" customHeight="1" x14ac:dyDescent="0.15">
      <c r="A83" s="24"/>
      <c r="AC83" s="31"/>
    </row>
    <row r="84" spans="1:29" ht="15.75" customHeight="1" x14ac:dyDescent="0.15">
      <c r="A84" s="24"/>
      <c r="AC84" s="31"/>
    </row>
    <row r="85" spans="1:29" ht="15.75" customHeight="1" x14ac:dyDescent="0.15">
      <c r="A85" s="24"/>
      <c r="AC85" s="31"/>
    </row>
    <row r="86" spans="1:29" ht="15.75" customHeight="1" x14ac:dyDescent="0.15">
      <c r="A86" s="24"/>
      <c r="AC86" s="31"/>
    </row>
    <row r="87" spans="1:29" ht="15.75" customHeight="1" x14ac:dyDescent="0.15">
      <c r="A87" s="24"/>
      <c r="AC87" s="31"/>
    </row>
    <row r="88" spans="1:29" ht="15.75" customHeight="1" x14ac:dyDescent="0.15">
      <c r="A88" s="24"/>
      <c r="AC88" s="31"/>
    </row>
    <row r="89" spans="1:29" ht="15.75" customHeight="1" x14ac:dyDescent="0.15">
      <c r="A89" s="24"/>
      <c r="AC89" s="31"/>
    </row>
    <row r="90" spans="1:29" ht="15.75" customHeight="1" x14ac:dyDescent="0.15">
      <c r="A90" s="24"/>
      <c r="AC90" s="31"/>
    </row>
    <row r="91" spans="1:29" ht="15.75" customHeight="1" x14ac:dyDescent="0.15">
      <c r="A91" s="24"/>
      <c r="AC91" s="31"/>
    </row>
    <row r="92" spans="1:29" ht="15.75" customHeight="1" x14ac:dyDescent="0.15">
      <c r="A92" s="24"/>
      <c r="AC92" s="31"/>
    </row>
    <row r="93" spans="1:29" ht="15.75" customHeight="1" x14ac:dyDescent="0.15">
      <c r="A93" s="24"/>
      <c r="AC93" s="31"/>
    </row>
    <row r="94" spans="1:29" ht="15.75" customHeight="1" x14ac:dyDescent="0.15">
      <c r="A94" s="24"/>
      <c r="AC94" s="31"/>
    </row>
    <row r="95" spans="1:29" ht="15.75" customHeight="1" x14ac:dyDescent="0.15">
      <c r="A95" s="24"/>
      <c r="AC95" s="31"/>
    </row>
    <row r="96" spans="1:29" ht="15.75" customHeight="1" x14ac:dyDescent="0.15">
      <c r="A96" s="24"/>
      <c r="AC96" s="31"/>
    </row>
    <row r="97" spans="1:29" ht="15.75" customHeight="1" x14ac:dyDescent="0.15">
      <c r="A97" s="24"/>
      <c r="AC97" s="31"/>
    </row>
    <row r="98" spans="1:29" ht="15.75" customHeight="1" x14ac:dyDescent="0.15">
      <c r="A98" s="24"/>
      <c r="AC98" s="31"/>
    </row>
    <row r="99" spans="1:29" ht="15.75" customHeight="1" x14ac:dyDescent="0.15">
      <c r="A99" s="24"/>
      <c r="AC99" s="31"/>
    </row>
    <row r="100" spans="1:29" ht="15.75" customHeight="1" x14ac:dyDescent="0.15">
      <c r="A100" s="24"/>
      <c r="AC100" s="31"/>
    </row>
    <row r="101" spans="1:29" ht="15.75" customHeight="1" x14ac:dyDescent="0.15">
      <c r="A101" s="24"/>
      <c r="AC101" s="31"/>
    </row>
    <row r="102" spans="1:29" ht="15.75" customHeight="1" x14ac:dyDescent="0.15">
      <c r="A102" s="24"/>
      <c r="AC102" s="31"/>
    </row>
    <row r="103" spans="1:29" ht="15.75" customHeight="1" x14ac:dyDescent="0.15">
      <c r="A103" s="24"/>
      <c r="AC103" s="31"/>
    </row>
    <row r="104" spans="1:29" ht="15.75" customHeight="1" x14ac:dyDescent="0.15">
      <c r="A104" s="24"/>
      <c r="AC104" s="31"/>
    </row>
    <row r="105" spans="1:29" ht="15.75" customHeight="1" x14ac:dyDescent="0.15">
      <c r="A105" s="24"/>
      <c r="AC105" s="31"/>
    </row>
    <row r="106" spans="1:29" ht="15.75" customHeight="1" x14ac:dyDescent="0.15">
      <c r="A106" s="24"/>
      <c r="AC106" s="31"/>
    </row>
    <row r="107" spans="1:29" ht="15.75" customHeight="1" x14ac:dyDescent="0.15">
      <c r="A107" s="24"/>
      <c r="AC107" s="31"/>
    </row>
    <row r="108" spans="1:29" ht="15.75" customHeight="1" x14ac:dyDescent="0.15">
      <c r="A108" s="24"/>
      <c r="AC108" s="31"/>
    </row>
    <row r="109" spans="1:29" ht="15.75" customHeight="1" x14ac:dyDescent="0.15">
      <c r="A109" s="24"/>
      <c r="AC109" s="31"/>
    </row>
    <row r="110" spans="1:29" ht="15.75" customHeight="1" x14ac:dyDescent="0.15">
      <c r="A110" s="24"/>
      <c r="AC110" s="31"/>
    </row>
    <row r="111" spans="1:29" ht="15.75" customHeight="1" x14ac:dyDescent="0.15">
      <c r="A111" s="24"/>
      <c r="AC111" s="31"/>
    </row>
    <row r="112" spans="1:29" ht="15.75" customHeight="1" x14ac:dyDescent="0.15">
      <c r="A112" s="24"/>
      <c r="AC112" s="31"/>
    </row>
    <row r="113" spans="1:29" ht="15.75" customHeight="1" x14ac:dyDescent="0.15">
      <c r="A113" s="24"/>
      <c r="AC113" s="31"/>
    </row>
    <row r="114" spans="1:29" ht="15.75" customHeight="1" x14ac:dyDescent="0.15">
      <c r="A114" s="24"/>
      <c r="AC114" s="31"/>
    </row>
    <row r="115" spans="1:29" ht="15.75" customHeight="1" x14ac:dyDescent="0.15">
      <c r="A115" s="24"/>
      <c r="AC115" s="31"/>
    </row>
    <row r="116" spans="1:29" ht="15.75" customHeight="1" x14ac:dyDescent="0.15">
      <c r="A116" s="24"/>
      <c r="AC116" s="31"/>
    </row>
    <row r="117" spans="1:29" ht="15.75" customHeight="1" x14ac:dyDescent="0.15">
      <c r="A117" s="24"/>
      <c r="AC117" s="31"/>
    </row>
    <row r="118" spans="1:29" ht="15.75" customHeight="1" x14ac:dyDescent="0.15">
      <c r="A118" s="24"/>
      <c r="AC118" s="31"/>
    </row>
    <row r="119" spans="1:29" ht="15.75" customHeight="1" x14ac:dyDescent="0.15">
      <c r="A119" s="24"/>
      <c r="AC119" s="31"/>
    </row>
    <row r="120" spans="1:29" ht="15.75" customHeight="1" x14ac:dyDescent="0.15">
      <c r="A120" s="24"/>
      <c r="AC120" s="31"/>
    </row>
    <row r="121" spans="1:29" ht="15.75" customHeight="1" x14ac:dyDescent="0.15">
      <c r="A121" s="24"/>
      <c r="AC121" s="31"/>
    </row>
    <row r="122" spans="1:29" ht="15.75" customHeight="1" x14ac:dyDescent="0.15">
      <c r="A122" s="24"/>
      <c r="AC122" s="31"/>
    </row>
    <row r="123" spans="1:29" ht="15.75" customHeight="1" x14ac:dyDescent="0.15">
      <c r="A123" s="24"/>
      <c r="AC123" s="31"/>
    </row>
    <row r="124" spans="1:29" ht="15.75" customHeight="1" x14ac:dyDescent="0.15">
      <c r="A124" s="24"/>
      <c r="AC124" s="31"/>
    </row>
    <row r="125" spans="1:29" ht="15.75" customHeight="1" x14ac:dyDescent="0.15">
      <c r="A125" s="24"/>
      <c r="AC125" s="31"/>
    </row>
    <row r="126" spans="1:29" ht="15.75" customHeight="1" x14ac:dyDescent="0.15">
      <c r="A126" s="24"/>
      <c r="AC126" s="31"/>
    </row>
    <row r="127" spans="1:29" ht="15.75" customHeight="1" x14ac:dyDescent="0.15">
      <c r="A127" s="24"/>
      <c r="AC127" s="31"/>
    </row>
    <row r="128" spans="1:29" ht="15.75" customHeight="1" x14ac:dyDescent="0.15">
      <c r="A128" s="24"/>
      <c r="AC128" s="31"/>
    </row>
    <row r="129" spans="1:29" ht="15.75" customHeight="1" x14ac:dyDescent="0.15">
      <c r="A129" s="24"/>
      <c r="AC129" s="31"/>
    </row>
    <row r="130" spans="1:29" ht="15.75" customHeight="1" x14ac:dyDescent="0.15">
      <c r="A130" s="24"/>
      <c r="AC130" s="31"/>
    </row>
    <row r="131" spans="1:29" ht="15.75" customHeight="1" x14ac:dyDescent="0.15">
      <c r="A131" s="24"/>
      <c r="AC131" s="31"/>
    </row>
    <row r="132" spans="1:29" ht="15.75" customHeight="1" x14ac:dyDescent="0.15">
      <c r="A132" s="24"/>
      <c r="AC132" s="31"/>
    </row>
    <row r="133" spans="1:29" ht="15.75" customHeight="1" x14ac:dyDescent="0.15">
      <c r="A133" s="24"/>
      <c r="AC133" s="31"/>
    </row>
    <row r="134" spans="1:29" ht="15.75" customHeight="1" x14ac:dyDescent="0.15">
      <c r="A134" s="24"/>
      <c r="AC134" s="31"/>
    </row>
    <row r="135" spans="1:29" ht="15.75" customHeight="1" x14ac:dyDescent="0.15">
      <c r="A135" s="24"/>
      <c r="AC135" s="31"/>
    </row>
    <row r="136" spans="1:29" ht="15.75" customHeight="1" x14ac:dyDescent="0.15">
      <c r="A136" s="24"/>
      <c r="AC136" s="31"/>
    </row>
    <row r="137" spans="1:29" ht="15.75" customHeight="1" x14ac:dyDescent="0.15">
      <c r="A137" s="24"/>
      <c r="AC137" s="31"/>
    </row>
    <row r="138" spans="1:29" ht="15.75" customHeight="1" x14ac:dyDescent="0.15">
      <c r="A138" s="24"/>
      <c r="AC138" s="31"/>
    </row>
    <row r="139" spans="1:29" ht="15.75" customHeight="1" x14ac:dyDescent="0.15">
      <c r="A139" s="24"/>
      <c r="AC139" s="31"/>
    </row>
    <row r="140" spans="1:29" ht="15.75" customHeight="1" x14ac:dyDescent="0.15">
      <c r="A140" s="24"/>
      <c r="AC140" s="31"/>
    </row>
    <row r="141" spans="1:29" ht="15.75" customHeight="1" x14ac:dyDescent="0.15">
      <c r="A141" s="24"/>
      <c r="AC141" s="31"/>
    </row>
    <row r="142" spans="1:29" ht="15.75" customHeight="1" x14ac:dyDescent="0.15">
      <c r="A142" s="24"/>
      <c r="AC142" s="31"/>
    </row>
    <row r="143" spans="1:29" ht="15.75" customHeight="1" x14ac:dyDescent="0.15">
      <c r="A143" s="24"/>
      <c r="AC143" s="31"/>
    </row>
    <row r="144" spans="1:29" ht="15.75" customHeight="1" x14ac:dyDescent="0.15">
      <c r="A144" s="24"/>
      <c r="AC144" s="31"/>
    </row>
    <row r="145" spans="1:29" ht="15.75" customHeight="1" x14ac:dyDescent="0.15">
      <c r="A145" s="24"/>
      <c r="AC145" s="31"/>
    </row>
    <row r="146" spans="1:29" ht="15.75" customHeight="1" x14ac:dyDescent="0.15">
      <c r="A146" s="24"/>
      <c r="AC146" s="31"/>
    </row>
    <row r="147" spans="1:29" ht="15.75" customHeight="1" x14ac:dyDescent="0.15">
      <c r="A147" s="24"/>
      <c r="AC147" s="31"/>
    </row>
    <row r="148" spans="1:29" ht="15.75" customHeight="1" x14ac:dyDescent="0.15">
      <c r="A148" s="24"/>
      <c r="AC148" s="31"/>
    </row>
    <row r="149" spans="1:29" ht="15.75" customHeight="1" x14ac:dyDescent="0.15">
      <c r="A149" s="24"/>
      <c r="AC149" s="31"/>
    </row>
    <row r="150" spans="1:29" ht="15.75" customHeight="1" x14ac:dyDescent="0.15">
      <c r="A150" s="24"/>
      <c r="AC150" s="31"/>
    </row>
    <row r="151" spans="1:29" ht="15.75" customHeight="1" x14ac:dyDescent="0.15">
      <c r="A151" s="24"/>
      <c r="AC151" s="31"/>
    </row>
    <row r="152" spans="1:29" ht="15.75" customHeight="1" x14ac:dyDescent="0.15">
      <c r="A152" s="24"/>
      <c r="AC152" s="31"/>
    </row>
    <row r="153" spans="1:29" ht="15.75" customHeight="1" x14ac:dyDescent="0.15">
      <c r="A153" s="24"/>
      <c r="AC153" s="31"/>
    </row>
    <row r="154" spans="1:29" ht="15.75" customHeight="1" x14ac:dyDescent="0.15">
      <c r="A154" s="24"/>
      <c r="AC154" s="31"/>
    </row>
    <row r="155" spans="1:29" ht="15.75" customHeight="1" x14ac:dyDescent="0.15">
      <c r="A155" s="24"/>
      <c r="AC155" s="31"/>
    </row>
    <row r="156" spans="1:29" ht="15.75" customHeight="1" x14ac:dyDescent="0.15">
      <c r="A156" s="24"/>
      <c r="AC156" s="31"/>
    </row>
    <row r="157" spans="1:29" ht="15.75" customHeight="1" x14ac:dyDescent="0.15">
      <c r="A157" s="24"/>
      <c r="AC157" s="31"/>
    </row>
    <row r="158" spans="1:29" ht="15.75" customHeight="1" x14ac:dyDescent="0.15">
      <c r="A158" s="24"/>
      <c r="AC158" s="31"/>
    </row>
    <row r="159" spans="1:29" ht="15.75" customHeight="1" x14ac:dyDescent="0.15">
      <c r="A159" s="24"/>
      <c r="AC159" s="31"/>
    </row>
    <row r="160" spans="1:29" ht="15.75" customHeight="1" x14ac:dyDescent="0.15">
      <c r="A160" s="24"/>
      <c r="AC160" s="31"/>
    </row>
    <row r="161" spans="1:29" ht="15.75" customHeight="1" x14ac:dyDescent="0.15">
      <c r="A161" s="24"/>
      <c r="AC161" s="31"/>
    </row>
    <row r="162" spans="1:29" ht="15.75" customHeight="1" x14ac:dyDescent="0.15">
      <c r="A162" s="24"/>
      <c r="AC162" s="31"/>
    </row>
    <row r="163" spans="1:29" ht="15.75" customHeight="1" x14ac:dyDescent="0.15">
      <c r="A163" s="24"/>
      <c r="AC163" s="31"/>
    </row>
    <row r="164" spans="1:29" ht="15.75" customHeight="1" x14ac:dyDescent="0.15">
      <c r="A164" s="24"/>
      <c r="AC164" s="31"/>
    </row>
    <row r="165" spans="1:29" ht="15.75" customHeight="1" x14ac:dyDescent="0.15">
      <c r="A165" s="24"/>
      <c r="AC165" s="31"/>
    </row>
    <row r="166" spans="1:29" ht="15.75" customHeight="1" x14ac:dyDescent="0.15">
      <c r="A166" s="24"/>
      <c r="AC166" s="31"/>
    </row>
    <row r="167" spans="1:29" ht="15.75" customHeight="1" x14ac:dyDescent="0.15">
      <c r="A167" s="24"/>
      <c r="AC167" s="31"/>
    </row>
    <row r="168" spans="1:29" ht="15.75" customHeight="1" x14ac:dyDescent="0.15">
      <c r="A168" s="24"/>
      <c r="AC168" s="31"/>
    </row>
    <row r="169" spans="1:29" ht="15.75" customHeight="1" x14ac:dyDescent="0.15">
      <c r="A169" s="24"/>
      <c r="AC169" s="31"/>
    </row>
    <row r="170" spans="1:29" ht="15.75" customHeight="1" x14ac:dyDescent="0.15">
      <c r="A170" s="24"/>
      <c r="AC170" s="31"/>
    </row>
    <row r="171" spans="1:29" ht="15.75" customHeight="1" x14ac:dyDescent="0.15">
      <c r="A171" s="24"/>
      <c r="AC171" s="31"/>
    </row>
    <row r="172" spans="1:29" ht="15.75" customHeight="1" x14ac:dyDescent="0.15">
      <c r="A172" s="24"/>
      <c r="AC172" s="31"/>
    </row>
    <row r="173" spans="1:29" ht="15.75" customHeight="1" x14ac:dyDescent="0.15">
      <c r="A173" s="24"/>
      <c r="AC173" s="31"/>
    </row>
    <row r="174" spans="1:29" ht="15.75" customHeight="1" x14ac:dyDescent="0.15">
      <c r="A174" s="24"/>
      <c r="AC174" s="31"/>
    </row>
    <row r="175" spans="1:29" ht="15.75" customHeight="1" x14ac:dyDescent="0.15">
      <c r="A175" s="24"/>
      <c r="AC175" s="31"/>
    </row>
    <row r="176" spans="1:29" ht="15.75" customHeight="1" x14ac:dyDescent="0.15">
      <c r="A176" s="24"/>
      <c r="AC176" s="31"/>
    </row>
    <row r="177" spans="1:29" ht="15.75" customHeight="1" x14ac:dyDescent="0.15">
      <c r="A177" s="24"/>
      <c r="AC177" s="31"/>
    </row>
    <row r="178" spans="1:29" ht="15.75" customHeight="1" x14ac:dyDescent="0.15">
      <c r="A178" s="24"/>
      <c r="AC178" s="31"/>
    </row>
    <row r="179" spans="1:29" ht="15.75" customHeight="1" x14ac:dyDescent="0.15">
      <c r="A179" s="24"/>
      <c r="AC179" s="31"/>
    </row>
    <row r="180" spans="1:29" ht="15.75" customHeight="1" x14ac:dyDescent="0.15">
      <c r="A180" s="24"/>
      <c r="AC180" s="31"/>
    </row>
    <row r="181" spans="1:29" ht="15.75" customHeight="1" x14ac:dyDescent="0.15">
      <c r="A181" s="24"/>
      <c r="AC181" s="31"/>
    </row>
    <row r="182" spans="1:29" ht="15.75" customHeight="1" x14ac:dyDescent="0.15">
      <c r="A182" s="24"/>
      <c r="AC182" s="31"/>
    </row>
    <row r="183" spans="1:29" ht="15.75" customHeight="1" x14ac:dyDescent="0.15">
      <c r="A183" s="24"/>
      <c r="AC183" s="31"/>
    </row>
    <row r="184" spans="1:29" ht="15.75" customHeight="1" x14ac:dyDescent="0.15">
      <c r="A184" s="24"/>
      <c r="AC184" s="31"/>
    </row>
    <row r="185" spans="1:29" ht="15.75" customHeight="1" x14ac:dyDescent="0.15">
      <c r="A185" s="24"/>
      <c r="AC185" s="31"/>
    </row>
    <row r="186" spans="1:29" ht="15.75" customHeight="1" x14ac:dyDescent="0.15">
      <c r="A186" s="24"/>
      <c r="AC186" s="31"/>
    </row>
    <row r="187" spans="1:29" ht="15.75" customHeight="1" x14ac:dyDescent="0.15">
      <c r="A187" s="24"/>
      <c r="AC187" s="31"/>
    </row>
    <row r="188" spans="1:29" ht="15.75" customHeight="1" x14ac:dyDescent="0.15">
      <c r="A188" s="24"/>
      <c r="AC188" s="31"/>
    </row>
    <row r="189" spans="1:29" ht="15.75" customHeight="1" x14ac:dyDescent="0.15">
      <c r="A189" s="24"/>
      <c r="AC189" s="31"/>
    </row>
    <row r="190" spans="1:29" ht="15.75" customHeight="1" x14ac:dyDescent="0.15">
      <c r="A190" s="24"/>
      <c r="AC190" s="31"/>
    </row>
    <row r="191" spans="1:29" ht="15.75" customHeight="1" x14ac:dyDescent="0.15">
      <c r="A191" s="24"/>
      <c r="AC191" s="31"/>
    </row>
    <row r="192" spans="1:29" ht="15.75" customHeight="1" x14ac:dyDescent="0.15">
      <c r="A192" s="24"/>
      <c r="AC192" s="31"/>
    </row>
    <row r="193" spans="1:29" ht="15.75" customHeight="1" x14ac:dyDescent="0.15">
      <c r="A193" s="24"/>
      <c r="AC193" s="31"/>
    </row>
    <row r="194" spans="1:29" ht="15.75" customHeight="1" x14ac:dyDescent="0.15">
      <c r="A194" s="24"/>
      <c r="AC194" s="31"/>
    </row>
    <row r="195" spans="1:29" ht="15.75" customHeight="1" x14ac:dyDescent="0.15">
      <c r="A195" s="24"/>
      <c r="AC195" s="31"/>
    </row>
    <row r="196" spans="1:29" ht="15.75" customHeight="1" x14ac:dyDescent="0.15">
      <c r="A196" s="24"/>
      <c r="AC196" s="31"/>
    </row>
    <row r="197" spans="1:29" ht="15.75" customHeight="1" x14ac:dyDescent="0.15">
      <c r="A197" s="24"/>
      <c r="AC197" s="31"/>
    </row>
    <row r="198" spans="1:29" ht="15.75" customHeight="1" x14ac:dyDescent="0.15">
      <c r="A198" s="24"/>
      <c r="AC198" s="31"/>
    </row>
    <row r="199" spans="1:29" ht="15.75" customHeight="1" x14ac:dyDescent="0.15">
      <c r="A199" s="24"/>
      <c r="AC199" s="31"/>
    </row>
    <row r="200" spans="1:29" ht="15.75" customHeight="1" x14ac:dyDescent="0.15">
      <c r="A200" s="24"/>
      <c r="AC200" s="31"/>
    </row>
    <row r="201" spans="1:29" ht="15.75" customHeight="1" x14ac:dyDescent="0.15">
      <c r="A201" s="24"/>
      <c r="AC201" s="31"/>
    </row>
    <row r="202" spans="1:29" ht="15.75" customHeight="1" x14ac:dyDescent="0.15">
      <c r="A202" s="24"/>
      <c r="AC202" s="31"/>
    </row>
    <row r="203" spans="1:29" ht="15.75" customHeight="1" x14ac:dyDescent="0.15">
      <c r="A203" s="24"/>
      <c r="AC203" s="31"/>
    </row>
    <row r="204" spans="1:29" ht="15.75" customHeight="1" x14ac:dyDescent="0.15">
      <c r="A204" s="24"/>
      <c r="AC204" s="31"/>
    </row>
    <row r="205" spans="1:29" ht="15.75" customHeight="1" x14ac:dyDescent="0.15">
      <c r="A205" s="24"/>
      <c r="AC205" s="31"/>
    </row>
    <row r="206" spans="1:29" ht="15.75" customHeight="1" x14ac:dyDescent="0.15">
      <c r="A206" s="24"/>
      <c r="AC206" s="31"/>
    </row>
    <row r="207" spans="1:29" ht="15.75" customHeight="1" x14ac:dyDescent="0.15">
      <c r="A207" s="24"/>
      <c r="AC207" s="31"/>
    </row>
    <row r="208" spans="1:29" ht="15.75" customHeight="1" x14ac:dyDescent="0.15">
      <c r="A208" s="24"/>
      <c r="AC208" s="31"/>
    </row>
    <row r="209" spans="1:29" ht="15.75" customHeight="1" x14ac:dyDescent="0.15">
      <c r="A209" s="24"/>
      <c r="AC209" s="31"/>
    </row>
    <row r="210" spans="1:29" ht="15.75" customHeight="1" x14ac:dyDescent="0.15">
      <c r="A210" s="24"/>
      <c r="AC210" s="31"/>
    </row>
    <row r="211" spans="1:29" ht="15.75" customHeight="1" x14ac:dyDescent="0.15">
      <c r="A211" s="24"/>
      <c r="AC211" s="31"/>
    </row>
    <row r="212" spans="1:29" ht="15.75" customHeight="1" x14ac:dyDescent="0.15">
      <c r="A212" s="24"/>
      <c r="AC212" s="31"/>
    </row>
    <row r="213" spans="1:29" ht="15.75" customHeight="1" x14ac:dyDescent="0.15">
      <c r="A213" s="24"/>
      <c r="AC213" s="31"/>
    </row>
    <row r="214" spans="1:29" ht="15.75" customHeight="1" x14ac:dyDescent="0.15">
      <c r="A214" s="24"/>
      <c r="AC214" s="31"/>
    </row>
    <row r="215" spans="1:29" ht="15.75" customHeight="1" x14ac:dyDescent="0.15">
      <c r="A215" s="24"/>
      <c r="AC215" s="31"/>
    </row>
    <row r="216" spans="1:29" ht="15.75" customHeight="1" x14ac:dyDescent="0.15">
      <c r="A216" s="24"/>
      <c r="AC216" s="31"/>
    </row>
    <row r="217" spans="1:29" ht="15.75" customHeight="1" x14ac:dyDescent="0.15">
      <c r="A217" s="24"/>
      <c r="AC217" s="31"/>
    </row>
    <row r="218" spans="1:29" ht="15.75" customHeight="1" x14ac:dyDescent="0.15">
      <c r="A218" s="24"/>
      <c r="AC218" s="31"/>
    </row>
    <row r="219" spans="1:29" ht="15.75" customHeight="1" x14ac:dyDescent="0.15">
      <c r="A219" s="24"/>
      <c r="AC219" s="31"/>
    </row>
    <row r="220" spans="1:29" ht="15.75" customHeight="1" x14ac:dyDescent="0.15">
      <c r="A220" s="24"/>
      <c r="AC220" s="31"/>
    </row>
    <row r="221" spans="1:29" ht="15.75" customHeight="1" x14ac:dyDescent="0.15">
      <c r="A221" s="24"/>
      <c r="AC221" s="31"/>
    </row>
    <row r="222" spans="1:29" ht="15.75" customHeight="1" x14ac:dyDescent="0.15">
      <c r="A222" s="24"/>
      <c r="AC222" s="31"/>
    </row>
    <row r="223" spans="1:29" ht="15.75" customHeight="1" x14ac:dyDescent="0.15">
      <c r="A223" s="24"/>
      <c r="AC223" s="31"/>
    </row>
    <row r="224" spans="1:29" ht="15.75" customHeight="1" x14ac:dyDescent="0.15">
      <c r="A224" s="24"/>
      <c r="AC224" s="31"/>
    </row>
    <row r="225" spans="1:29" ht="15.75" customHeight="1" x14ac:dyDescent="0.15">
      <c r="A225" s="24"/>
      <c r="AC225" s="31"/>
    </row>
    <row r="226" spans="1:29" ht="15.75" customHeight="1" x14ac:dyDescent="0.15">
      <c r="A226" s="24"/>
      <c r="AC226" s="31"/>
    </row>
    <row r="227" spans="1:29" ht="15.75" customHeight="1" x14ac:dyDescent="0.15">
      <c r="A227" s="24"/>
      <c r="AC227" s="31"/>
    </row>
    <row r="228" spans="1:29" ht="15.75" customHeight="1" x14ac:dyDescent="0.15">
      <c r="A228" s="24"/>
      <c r="AC228" s="31"/>
    </row>
    <row r="229" spans="1:29" ht="15.75" customHeight="1" x14ac:dyDescent="0.15">
      <c r="A229" s="24"/>
      <c r="AC229" s="31"/>
    </row>
    <row r="230" spans="1:29" ht="15.75" customHeight="1" x14ac:dyDescent="0.15">
      <c r="A230" s="24"/>
      <c r="AC230" s="31"/>
    </row>
    <row r="231" spans="1:29" ht="15.75" customHeight="1" x14ac:dyDescent="0.15">
      <c r="A231" s="24"/>
      <c r="AC231" s="31"/>
    </row>
    <row r="232" spans="1:29" ht="15.75" customHeight="1" x14ac:dyDescent="0.15">
      <c r="A232" s="24"/>
      <c r="AC232" s="31"/>
    </row>
    <row r="233" spans="1:29" ht="15.75" customHeight="1" x14ac:dyDescent="0.15">
      <c r="A233" s="24"/>
      <c r="AC233" s="31"/>
    </row>
    <row r="234" spans="1:29" ht="15.75" customHeight="1" x14ac:dyDescent="0.15">
      <c r="A234" s="24"/>
      <c r="AC234" s="31"/>
    </row>
    <row r="235" spans="1:29" ht="15.75" customHeight="1" x14ac:dyDescent="0.15">
      <c r="A235" s="24"/>
      <c r="AC235" s="31"/>
    </row>
    <row r="236" spans="1:29" ht="15.75" customHeight="1" x14ac:dyDescent="0.15">
      <c r="A236" s="24"/>
      <c r="AC236" s="31"/>
    </row>
    <row r="237" spans="1:29" ht="15.75" customHeight="1" x14ac:dyDescent="0.15"/>
    <row r="238" spans="1:29" ht="15.75" customHeight="1" x14ac:dyDescent="0.15"/>
    <row r="239" spans="1:29" ht="15.75" customHeight="1" x14ac:dyDescent="0.15"/>
    <row r="240" spans="1:29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3">
    <mergeCell ref="BD2:BD3"/>
    <mergeCell ref="BB1:BD1"/>
    <mergeCell ref="B2:E2"/>
    <mergeCell ref="F2:I2"/>
    <mergeCell ref="J2:M2"/>
    <mergeCell ref="N2:Q2"/>
    <mergeCell ref="R2:U2"/>
    <mergeCell ref="V2:Y2"/>
    <mergeCell ref="Z2:Z3"/>
    <mergeCell ref="AA2:AA3"/>
    <mergeCell ref="AH2:AK2"/>
    <mergeCell ref="AL2:AO2"/>
    <mergeCell ref="AP2:AS2"/>
    <mergeCell ref="AT2:AW2"/>
    <mergeCell ref="AX2:BA2"/>
    <mergeCell ref="BB2:BB3"/>
    <mergeCell ref="BC2:BC3"/>
    <mergeCell ref="AB2:AB3"/>
    <mergeCell ref="AD2:AG2"/>
    <mergeCell ref="B1:Y1"/>
    <mergeCell ref="Z1:AB1"/>
    <mergeCell ref="AC1:AC3"/>
    <mergeCell ref="AD1:B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00"/>
  <sheetViews>
    <sheetView workbookViewId="0">
      <selection sqref="A1:A2"/>
    </sheetView>
  </sheetViews>
  <sheetFormatPr baseColWidth="10" defaultColWidth="12.6640625" defaultRowHeight="15" customHeight="1" x14ac:dyDescent="0.15"/>
  <cols>
    <col min="1" max="6" width="12.6640625" customWidth="1"/>
  </cols>
  <sheetData>
    <row r="1" spans="1:23" ht="15.75" customHeight="1" x14ac:dyDescent="0.2">
      <c r="A1" s="68" t="s">
        <v>1</v>
      </c>
      <c r="B1" s="69" t="s">
        <v>59</v>
      </c>
      <c r="C1" s="54"/>
      <c r="D1" s="54"/>
      <c r="E1" s="54"/>
      <c r="F1" s="54"/>
      <c r="G1" s="70"/>
      <c r="I1" s="68" t="s">
        <v>1</v>
      </c>
      <c r="J1" s="69" t="s">
        <v>60</v>
      </c>
      <c r="K1" s="54"/>
      <c r="L1" s="54"/>
      <c r="M1" s="54"/>
      <c r="N1" s="54"/>
      <c r="O1" s="70"/>
      <c r="Q1" s="71" t="s">
        <v>1</v>
      </c>
      <c r="R1" s="72" t="s">
        <v>61</v>
      </c>
      <c r="S1" s="54"/>
      <c r="T1" s="54"/>
      <c r="U1" s="54"/>
      <c r="V1" s="54"/>
      <c r="W1" s="70"/>
    </row>
    <row r="2" spans="1:23" ht="15.75" customHeight="1" x14ac:dyDescent="0.15">
      <c r="A2" s="56"/>
      <c r="B2" s="34" t="s">
        <v>19</v>
      </c>
      <c r="C2" s="34" t="s">
        <v>30</v>
      </c>
      <c r="D2" s="34" t="s">
        <v>31</v>
      </c>
      <c r="E2" s="34" t="s">
        <v>32</v>
      </c>
      <c r="F2" s="34" t="s">
        <v>33</v>
      </c>
      <c r="G2" s="34" t="s">
        <v>34</v>
      </c>
      <c r="I2" s="56"/>
      <c r="J2" s="34" t="s">
        <v>19</v>
      </c>
      <c r="K2" s="34" t="s">
        <v>30</v>
      </c>
      <c r="L2" s="34" t="s">
        <v>31</v>
      </c>
      <c r="M2" s="34" t="s">
        <v>32</v>
      </c>
      <c r="N2" s="34" t="s">
        <v>33</v>
      </c>
      <c r="O2" s="34" t="s">
        <v>34</v>
      </c>
      <c r="Q2" s="52"/>
      <c r="R2" s="34" t="s">
        <v>19</v>
      </c>
      <c r="S2" s="34" t="s">
        <v>30</v>
      </c>
      <c r="T2" s="34" t="s">
        <v>31</v>
      </c>
      <c r="U2" s="34" t="s">
        <v>32</v>
      </c>
      <c r="V2" s="34" t="s">
        <v>33</v>
      </c>
      <c r="W2" s="34" t="s">
        <v>34</v>
      </c>
    </row>
    <row r="3" spans="1:23" ht="15.75" customHeight="1" x14ac:dyDescent="0.15">
      <c r="A3" s="35">
        <v>45538</v>
      </c>
      <c r="B3" s="11">
        <v>115</v>
      </c>
      <c r="C3" s="11">
        <v>136</v>
      </c>
      <c r="D3" s="11">
        <v>136</v>
      </c>
      <c r="E3" s="11">
        <v>136</v>
      </c>
      <c r="F3" s="11">
        <v>136</v>
      </c>
      <c r="G3" s="11">
        <v>136</v>
      </c>
      <c r="H3" s="12"/>
      <c r="I3" s="35">
        <v>45538</v>
      </c>
      <c r="J3" s="11">
        <v>20</v>
      </c>
      <c r="K3" s="11">
        <v>20</v>
      </c>
      <c r="L3" s="11">
        <v>20</v>
      </c>
      <c r="M3" s="11">
        <v>20</v>
      </c>
      <c r="N3" s="11">
        <v>20</v>
      </c>
      <c r="O3" s="11">
        <v>20</v>
      </c>
      <c r="Q3" s="35">
        <v>45599</v>
      </c>
      <c r="R3" s="11">
        <v>10</v>
      </c>
      <c r="S3" s="11">
        <v>0</v>
      </c>
      <c r="T3" s="11">
        <v>0</v>
      </c>
      <c r="U3" s="11">
        <v>0</v>
      </c>
      <c r="V3" s="11">
        <v>0</v>
      </c>
      <c r="W3" s="11">
        <v>100</v>
      </c>
    </row>
    <row r="4" spans="1:23" ht="15.75" customHeight="1" x14ac:dyDescent="0.15">
      <c r="A4" s="35">
        <v>45568</v>
      </c>
      <c r="B4" s="11">
        <v>30</v>
      </c>
      <c r="C4" s="11">
        <v>30</v>
      </c>
      <c r="D4" s="11">
        <v>30</v>
      </c>
      <c r="E4" s="11">
        <v>30</v>
      </c>
      <c r="F4" s="11">
        <v>30</v>
      </c>
      <c r="G4" s="11">
        <v>30</v>
      </c>
      <c r="H4" s="12"/>
      <c r="I4" s="35">
        <v>45568</v>
      </c>
      <c r="J4" s="11">
        <v>14</v>
      </c>
      <c r="K4" s="11">
        <v>10</v>
      </c>
      <c r="L4" s="11">
        <v>10</v>
      </c>
      <c r="M4" s="11">
        <v>10</v>
      </c>
      <c r="N4" s="11">
        <v>10</v>
      </c>
      <c r="O4" s="11">
        <v>10</v>
      </c>
      <c r="Q4" s="11" t="s">
        <v>46</v>
      </c>
      <c r="R4" s="11">
        <v>10</v>
      </c>
      <c r="S4" s="11">
        <v>10</v>
      </c>
      <c r="T4" s="11">
        <v>10</v>
      </c>
      <c r="U4" s="11">
        <v>10</v>
      </c>
      <c r="V4" s="11">
        <v>15</v>
      </c>
      <c r="W4" s="11">
        <v>10</v>
      </c>
    </row>
    <row r="5" spans="1:23" ht="15.75" customHeight="1" x14ac:dyDescent="0.15">
      <c r="A5" s="11" t="s">
        <v>46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136</v>
      </c>
      <c r="I5" s="35">
        <v>45295</v>
      </c>
      <c r="J5" s="33">
        <v>5</v>
      </c>
      <c r="K5" s="33">
        <v>5</v>
      </c>
      <c r="L5" s="33">
        <v>5</v>
      </c>
      <c r="M5" s="33">
        <v>5</v>
      </c>
      <c r="N5" s="33">
        <v>5</v>
      </c>
      <c r="O5" s="33">
        <v>5</v>
      </c>
      <c r="Q5" s="11" t="s">
        <v>56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16</v>
      </c>
    </row>
    <row r="6" spans="1:23" ht="15.75" customHeight="1" x14ac:dyDescent="0.15">
      <c r="A6" s="11" t="s">
        <v>51</v>
      </c>
      <c r="B6" s="11">
        <v>12</v>
      </c>
      <c r="C6" s="11">
        <v>9</v>
      </c>
      <c r="D6" s="11">
        <v>9</v>
      </c>
      <c r="E6" s="11">
        <v>21</v>
      </c>
      <c r="F6" s="11">
        <v>21</v>
      </c>
      <c r="G6" s="11">
        <v>27</v>
      </c>
      <c r="I6" s="11"/>
      <c r="J6" s="33"/>
      <c r="K6" s="33"/>
      <c r="L6" s="33"/>
      <c r="M6" s="33"/>
      <c r="N6" s="33"/>
      <c r="O6" s="33"/>
      <c r="Q6" s="35">
        <v>45295</v>
      </c>
      <c r="R6" s="11">
        <v>15</v>
      </c>
      <c r="S6" s="11">
        <v>15</v>
      </c>
      <c r="T6" s="11">
        <v>15</v>
      </c>
      <c r="U6" s="11">
        <v>15</v>
      </c>
      <c r="V6" s="11">
        <v>15</v>
      </c>
      <c r="W6" s="11">
        <v>15</v>
      </c>
    </row>
    <row r="7" spans="1:23" ht="15.75" customHeight="1" x14ac:dyDescent="0.15">
      <c r="A7" s="35">
        <v>45295</v>
      </c>
      <c r="B7" s="33"/>
      <c r="C7" s="33"/>
      <c r="D7" s="33"/>
      <c r="E7" s="33"/>
      <c r="F7" s="33"/>
      <c r="G7" s="33"/>
      <c r="I7" s="11"/>
      <c r="J7" s="33"/>
      <c r="K7" s="33"/>
      <c r="L7" s="33"/>
      <c r="M7" s="33"/>
      <c r="N7" s="33"/>
      <c r="O7" s="33"/>
      <c r="Q7" s="11"/>
      <c r="R7" s="11"/>
      <c r="S7" s="11"/>
      <c r="T7" s="11"/>
      <c r="U7" s="11"/>
      <c r="V7" s="11"/>
      <c r="W7" s="11"/>
    </row>
    <row r="8" spans="1:23" ht="15.75" customHeight="1" x14ac:dyDescent="0.15">
      <c r="A8" s="11"/>
      <c r="B8" s="33"/>
      <c r="C8" s="33"/>
      <c r="D8" s="33"/>
      <c r="E8" s="33"/>
      <c r="F8" s="33"/>
      <c r="G8" s="33"/>
      <c r="I8" s="11"/>
      <c r="J8" s="33"/>
      <c r="K8" s="33"/>
      <c r="L8" s="33"/>
      <c r="M8" s="33"/>
      <c r="N8" s="33"/>
      <c r="O8" s="33"/>
      <c r="Q8" s="11"/>
      <c r="R8" s="11"/>
      <c r="S8" s="11"/>
      <c r="T8" s="11"/>
      <c r="U8" s="11"/>
      <c r="V8" s="11"/>
      <c r="W8" s="11"/>
    </row>
    <row r="9" spans="1:23" ht="15.75" customHeight="1" x14ac:dyDescent="0.15">
      <c r="A9" s="11"/>
      <c r="B9" s="33"/>
      <c r="C9" s="33"/>
      <c r="D9" s="33"/>
      <c r="E9" s="33"/>
      <c r="F9" s="33"/>
      <c r="G9" s="33"/>
      <c r="I9" s="11"/>
      <c r="J9" s="33"/>
      <c r="K9" s="33"/>
      <c r="L9" s="33"/>
      <c r="M9" s="33"/>
      <c r="N9" s="33"/>
      <c r="O9" s="33"/>
      <c r="Q9" s="11"/>
      <c r="R9" s="11"/>
      <c r="S9" s="11"/>
      <c r="T9" s="11"/>
      <c r="U9" s="11"/>
      <c r="V9" s="11"/>
      <c r="W9" s="11"/>
    </row>
    <row r="10" spans="1:23" ht="15.75" customHeight="1" x14ac:dyDescent="0.15">
      <c r="A10" s="11"/>
      <c r="B10" s="33"/>
      <c r="C10" s="33"/>
      <c r="D10" s="33"/>
      <c r="E10" s="33"/>
      <c r="F10" s="33"/>
      <c r="G10" s="33"/>
      <c r="I10" s="11"/>
      <c r="J10" s="33"/>
      <c r="K10" s="33"/>
      <c r="L10" s="33"/>
      <c r="M10" s="33"/>
      <c r="N10" s="33"/>
      <c r="O10" s="33"/>
      <c r="Q10" s="11"/>
      <c r="R10" s="11"/>
      <c r="S10" s="11"/>
      <c r="T10" s="11"/>
      <c r="U10" s="11"/>
      <c r="V10" s="11"/>
      <c r="W10" s="11"/>
    </row>
    <row r="11" spans="1:23" ht="15.75" customHeight="1" x14ac:dyDescent="0.15">
      <c r="A11" s="11"/>
      <c r="B11" s="33"/>
      <c r="C11" s="33"/>
      <c r="D11" s="33"/>
      <c r="E11" s="33"/>
      <c r="F11" s="33"/>
      <c r="G11" s="33"/>
      <c r="I11" s="11"/>
      <c r="J11" s="33"/>
      <c r="K11" s="33"/>
      <c r="L11" s="33"/>
      <c r="M11" s="33"/>
      <c r="N11" s="33"/>
      <c r="O11" s="33"/>
      <c r="Q11" s="11"/>
      <c r="R11" s="11"/>
      <c r="S11" s="11"/>
      <c r="T11" s="11"/>
      <c r="U11" s="11"/>
      <c r="V11" s="11"/>
      <c r="W11" s="11"/>
    </row>
    <row r="12" spans="1:23" ht="15.75" customHeight="1" x14ac:dyDescent="0.15">
      <c r="A12" s="11"/>
      <c r="B12" s="33"/>
      <c r="C12" s="33"/>
      <c r="D12" s="33"/>
      <c r="E12" s="33"/>
      <c r="F12" s="33"/>
      <c r="G12" s="33"/>
      <c r="I12" s="11"/>
      <c r="J12" s="33"/>
      <c r="K12" s="33"/>
      <c r="L12" s="33"/>
      <c r="M12" s="33"/>
      <c r="N12" s="33"/>
      <c r="O12" s="33"/>
      <c r="Q12" s="11"/>
      <c r="R12" s="11"/>
      <c r="S12" s="11"/>
      <c r="T12" s="11"/>
      <c r="U12" s="11"/>
      <c r="V12" s="11"/>
      <c r="W12" s="11"/>
    </row>
    <row r="13" spans="1:23" ht="15.75" customHeight="1" x14ac:dyDescent="0.15">
      <c r="A13" s="11"/>
      <c r="B13" s="33"/>
      <c r="C13" s="33"/>
      <c r="D13" s="33"/>
      <c r="E13" s="33"/>
      <c r="F13" s="33"/>
      <c r="G13" s="33"/>
      <c r="I13" s="11"/>
      <c r="J13" s="33"/>
      <c r="K13" s="33"/>
      <c r="L13" s="33"/>
      <c r="M13" s="33"/>
      <c r="N13" s="33"/>
      <c r="O13" s="33"/>
      <c r="Q13" s="11"/>
      <c r="R13" s="11"/>
      <c r="S13" s="11"/>
      <c r="T13" s="11"/>
      <c r="U13" s="11"/>
      <c r="V13" s="11"/>
      <c r="W13" s="11"/>
    </row>
    <row r="14" spans="1:23" ht="15.75" customHeight="1" x14ac:dyDescent="0.15">
      <c r="A14" s="11"/>
      <c r="B14" s="33"/>
      <c r="C14" s="33"/>
      <c r="D14" s="33"/>
      <c r="E14" s="33"/>
      <c r="F14" s="33"/>
      <c r="G14" s="33"/>
      <c r="I14" s="11"/>
      <c r="J14" s="33"/>
      <c r="K14" s="33"/>
      <c r="L14" s="33"/>
      <c r="M14" s="33"/>
      <c r="N14" s="33"/>
      <c r="O14" s="33"/>
      <c r="Q14" s="11"/>
      <c r="R14" s="33"/>
      <c r="S14" s="33"/>
      <c r="T14" s="33"/>
      <c r="U14" s="33"/>
      <c r="V14" s="33"/>
      <c r="W14" s="33"/>
    </row>
    <row r="15" spans="1:23" ht="15.75" customHeight="1" x14ac:dyDescent="0.15">
      <c r="A15" s="11"/>
      <c r="B15" s="33"/>
      <c r="C15" s="33"/>
      <c r="D15" s="33"/>
      <c r="E15" s="33"/>
      <c r="F15" s="33"/>
      <c r="G15" s="33"/>
      <c r="I15" s="11"/>
      <c r="J15" s="33"/>
      <c r="K15" s="33"/>
      <c r="L15" s="33"/>
      <c r="M15" s="33"/>
      <c r="N15" s="33"/>
      <c r="O15" s="33"/>
      <c r="Q15" s="11"/>
      <c r="R15" s="33"/>
      <c r="S15" s="33"/>
      <c r="T15" s="33"/>
      <c r="U15" s="33"/>
      <c r="V15" s="33"/>
      <c r="W15" s="33"/>
    </row>
    <row r="16" spans="1:23" ht="15.75" customHeight="1" x14ac:dyDescent="0.15">
      <c r="A16" s="11"/>
      <c r="B16" s="33"/>
      <c r="C16" s="33"/>
      <c r="D16" s="33"/>
      <c r="E16" s="33"/>
      <c r="F16" s="33"/>
      <c r="G16" s="33"/>
      <c r="I16" s="11"/>
      <c r="J16" s="33"/>
      <c r="K16" s="33"/>
      <c r="L16" s="33"/>
      <c r="M16" s="33"/>
      <c r="N16" s="33"/>
      <c r="O16" s="33"/>
      <c r="Q16" s="11"/>
      <c r="R16" s="33"/>
      <c r="S16" s="33"/>
      <c r="T16" s="33"/>
      <c r="U16" s="33"/>
      <c r="V16" s="33"/>
      <c r="W16" s="33"/>
    </row>
    <row r="17" spans="1:23" ht="15.75" customHeight="1" x14ac:dyDescent="0.15">
      <c r="A17" s="11"/>
      <c r="B17" s="33"/>
      <c r="C17" s="33"/>
      <c r="D17" s="33"/>
      <c r="E17" s="33"/>
      <c r="F17" s="33"/>
      <c r="G17" s="33"/>
      <c r="I17" s="11"/>
      <c r="J17" s="33"/>
      <c r="K17" s="33"/>
      <c r="L17" s="33"/>
      <c r="M17" s="33"/>
      <c r="N17" s="33"/>
      <c r="O17" s="33"/>
      <c r="Q17" s="11"/>
      <c r="R17" s="33"/>
      <c r="S17" s="33"/>
      <c r="T17" s="33"/>
      <c r="U17" s="33"/>
      <c r="V17" s="33"/>
      <c r="W17" s="33"/>
    </row>
    <row r="18" spans="1:23" ht="15.75" customHeight="1" x14ac:dyDescent="0.15">
      <c r="A18" s="11"/>
      <c r="B18" s="33"/>
      <c r="C18" s="33"/>
      <c r="D18" s="33"/>
      <c r="E18" s="33"/>
      <c r="F18" s="33"/>
      <c r="G18" s="33"/>
      <c r="I18" s="11"/>
      <c r="J18" s="33"/>
      <c r="K18" s="33"/>
      <c r="L18" s="33"/>
      <c r="M18" s="33"/>
      <c r="N18" s="33"/>
      <c r="O18" s="33"/>
      <c r="Q18" s="11"/>
      <c r="R18" s="33"/>
      <c r="S18" s="33"/>
      <c r="T18" s="33"/>
      <c r="U18" s="33"/>
      <c r="V18" s="33"/>
      <c r="W18" s="33"/>
    </row>
    <row r="19" spans="1:23" ht="15.75" customHeight="1" x14ac:dyDescent="0.15">
      <c r="A19" s="11"/>
      <c r="B19" s="33"/>
      <c r="C19" s="33"/>
      <c r="D19" s="33"/>
      <c r="E19" s="33"/>
      <c r="F19" s="33"/>
      <c r="G19" s="33"/>
      <c r="I19" s="11"/>
      <c r="J19" s="33"/>
      <c r="K19" s="33"/>
      <c r="L19" s="33"/>
      <c r="M19" s="33"/>
      <c r="N19" s="33"/>
      <c r="O19" s="33"/>
      <c r="Q19" s="11"/>
      <c r="R19" s="33"/>
      <c r="S19" s="33"/>
      <c r="T19" s="33"/>
      <c r="U19" s="33"/>
      <c r="V19" s="33"/>
      <c r="W19" s="33"/>
    </row>
    <row r="20" spans="1:23" ht="15.75" customHeight="1" x14ac:dyDescent="0.15">
      <c r="A20" s="11"/>
      <c r="B20" s="33"/>
      <c r="C20" s="33"/>
      <c r="D20" s="33"/>
      <c r="E20" s="33"/>
      <c r="F20" s="33"/>
      <c r="G20" s="33"/>
      <c r="I20" s="11"/>
      <c r="J20" s="33"/>
      <c r="K20" s="33"/>
      <c r="L20" s="33"/>
      <c r="M20" s="33"/>
      <c r="N20" s="33"/>
      <c r="O20" s="33"/>
      <c r="Q20" s="11"/>
      <c r="R20" s="33"/>
      <c r="S20" s="33"/>
      <c r="T20" s="33"/>
      <c r="U20" s="33"/>
      <c r="V20" s="33"/>
      <c r="W20" s="33"/>
    </row>
    <row r="21" spans="1:23" ht="15.75" customHeight="1" x14ac:dyDescent="0.15">
      <c r="A21" s="11"/>
      <c r="B21" s="33"/>
      <c r="C21" s="33"/>
      <c r="D21" s="33"/>
      <c r="E21" s="33"/>
      <c r="F21" s="33"/>
      <c r="G21" s="33"/>
      <c r="I21" s="11"/>
      <c r="J21" s="33"/>
      <c r="K21" s="33"/>
      <c r="L21" s="33"/>
      <c r="M21" s="33"/>
      <c r="N21" s="33"/>
      <c r="O21" s="33"/>
      <c r="Q21" s="11"/>
      <c r="R21" s="33"/>
      <c r="S21" s="33"/>
      <c r="T21" s="33"/>
      <c r="U21" s="33"/>
      <c r="V21" s="33"/>
      <c r="W21" s="33"/>
    </row>
    <row r="22" spans="1:23" ht="15.75" customHeight="1" x14ac:dyDescent="0.15">
      <c r="A22" s="11"/>
      <c r="B22" s="33"/>
      <c r="C22" s="33"/>
      <c r="D22" s="33"/>
      <c r="E22" s="33"/>
      <c r="F22" s="33"/>
      <c r="G22" s="33"/>
      <c r="I22" s="11"/>
      <c r="J22" s="33"/>
      <c r="K22" s="33"/>
      <c r="L22" s="33"/>
      <c r="M22" s="33"/>
      <c r="N22" s="33"/>
      <c r="O22" s="33"/>
      <c r="Q22" s="11"/>
      <c r="R22" s="33"/>
      <c r="S22" s="33"/>
      <c r="T22" s="33"/>
      <c r="U22" s="33"/>
      <c r="V22" s="33"/>
      <c r="W22" s="33"/>
    </row>
    <row r="23" spans="1:23" ht="15.75" customHeight="1" x14ac:dyDescent="0.15">
      <c r="A23" s="11"/>
      <c r="B23" s="33"/>
      <c r="C23" s="33"/>
      <c r="D23" s="33"/>
      <c r="E23" s="33"/>
      <c r="F23" s="33"/>
      <c r="G23" s="33"/>
      <c r="I23" s="11"/>
      <c r="J23" s="33"/>
      <c r="K23" s="33"/>
      <c r="L23" s="33"/>
      <c r="M23" s="33"/>
      <c r="N23" s="33"/>
      <c r="O23" s="33"/>
      <c r="Q23" s="11"/>
      <c r="R23" s="33"/>
      <c r="S23" s="33"/>
      <c r="T23" s="33"/>
      <c r="U23" s="33"/>
      <c r="V23" s="33"/>
      <c r="W23" s="33"/>
    </row>
    <row r="24" spans="1:23" ht="15.75" customHeight="1" x14ac:dyDescent="0.15">
      <c r="A24" s="11"/>
      <c r="B24" s="33"/>
      <c r="C24" s="33"/>
      <c r="D24" s="33"/>
      <c r="E24" s="33"/>
      <c r="F24" s="33"/>
      <c r="G24" s="33"/>
      <c r="I24" s="11"/>
      <c r="J24" s="33"/>
      <c r="K24" s="33"/>
      <c r="L24" s="33"/>
      <c r="M24" s="33"/>
      <c r="N24" s="33"/>
      <c r="O24" s="33"/>
      <c r="Q24" s="11"/>
      <c r="R24" s="33"/>
      <c r="S24" s="33"/>
      <c r="T24" s="33"/>
      <c r="U24" s="33"/>
      <c r="V24" s="33"/>
      <c r="W24" s="33"/>
    </row>
    <row r="25" spans="1:23" ht="15.75" customHeight="1" x14ac:dyDescent="0.15">
      <c r="A25" s="12"/>
      <c r="I25" s="12"/>
    </row>
    <row r="26" spans="1:23" ht="15.75" customHeight="1" x14ac:dyDescent="0.15">
      <c r="A26" s="36" t="s">
        <v>62</v>
      </c>
      <c r="B26" s="11">
        <f t="shared" ref="B26:G26" si="0">SUM(B3:B24)</f>
        <v>157</v>
      </c>
      <c r="C26" s="11">
        <f t="shared" si="0"/>
        <v>175</v>
      </c>
      <c r="D26" s="11">
        <f t="shared" si="0"/>
        <v>175</v>
      </c>
      <c r="E26" s="11">
        <f t="shared" si="0"/>
        <v>187</v>
      </c>
      <c r="F26" s="11">
        <f t="shared" si="0"/>
        <v>187</v>
      </c>
      <c r="G26" s="11">
        <f t="shared" si="0"/>
        <v>329</v>
      </c>
      <c r="I26" s="36" t="s">
        <v>62</v>
      </c>
      <c r="J26" s="11">
        <f t="shared" ref="J26:O26" si="1">SUM(J3:J24)</f>
        <v>39</v>
      </c>
      <c r="K26" s="11">
        <f t="shared" si="1"/>
        <v>35</v>
      </c>
      <c r="L26" s="11">
        <f t="shared" si="1"/>
        <v>35</v>
      </c>
      <c r="M26" s="11">
        <f t="shared" si="1"/>
        <v>35</v>
      </c>
      <c r="N26" s="11">
        <f t="shared" si="1"/>
        <v>35</v>
      </c>
      <c r="O26" s="11">
        <f t="shared" si="1"/>
        <v>35</v>
      </c>
      <c r="Q26" s="36" t="s">
        <v>62</v>
      </c>
      <c r="R26" s="11">
        <f t="shared" ref="R26:W26" si="2">SUM(R3:R24)</f>
        <v>35</v>
      </c>
      <c r="S26" s="11">
        <f t="shared" si="2"/>
        <v>25</v>
      </c>
      <c r="T26" s="11">
        <f t="shared" si="2"/>
        <v>25</v>
      </c>
      <c r="U26" s="11">
        <f t="shared" si="2"/>
        <v>25</v>
      </c>
      <c r="V26" s="11">
        <f t="shared" si="2"/>
        <v>30</v>
      </c>
      <c r="W26" s="11">
        <f t="shared" si="2"/>
        <v>141</v>
      </c>
    </row>
    <row r="27" spans="1:23" ht="15.75" customHeight="1" x14ac:dyDescent="0.15">
      <c r="A27" s="12"/>
    </row>
    <row r="28" spans="1:23" ht="15.75" customHeight="1" x14ac:dyDescent="0.15">
      <c r="A28" s="12"/>
    </row>
    <row r="29" spans="1:23" ht="15.75" customHeight="1" x14ac:dyDescent="0.15">
      <c r="A29" s="12"/>
    </row>
    <row r="30" spans="1:23" ht="15.75" customHeight="1" x14ac:dyDescent="0.15">
      <c r="A30" s="12"/>
    </row>
    <row r="31" spans="1:23" ht="15.75" customHeight="1" x14ac:dyDescent="0.15">
      <c r="A31" s="12"/>
    </row>
    <row r="32" spans="1:23" ht="15.75" customHeight="1" x14ac:dyDescent="0.15">
      <c r="A32" s="12"/>
    </row>
    <row r="33" spans="1:1" ht="15.75" customHeight="1" x14ac:dyDescent="0.15">
      <c r="A33" s="12"/>
    </row>
    <row r="34" spans="1:1" ht="15.75" customHeight="1" x14ac:dyDescent="0.15">
      <c r="A34" s="12"/>
    </row>
    <row r="35" spans="1:1" ht="15.75" customHeight="1" x14ac:dyDescent="0.15">
      <c r="A35" s="12"/>
    </row>
    <row r="36" spans="1:1" ht="15.75" customHeight="1" x14ac:dyDescent="0.15">
      <c r="A36" s="12"/>
    </row>
    <row r="37" spans="1:1" ht="15.75" customHeight="1" x14ac:dyDescent="0.15">
      <c r="A37" s="12"/>
    </row>
    <row r="38" spans="1:1" ht="15.75" customHeight="1" x14ac:dyDescent="0.15">
      <c r="A38" s="12"/>
    </row>
    <row r="39" spans="1:1" ht="15.75" customHeight="1" x14ac:dyDescent="0.15">
      <c r="A39" s="12"/>
    </row>
    <row r="40" spans="1:1" ht="15.75" customHeight="1" x14ac:dyDescent="0.15">
      <c r="A40" s="12"/>
    </row>
    <row r="41" spans="1:1" ht="15.75" customHeight="1" x14ac:dyDescent="0.15">
      <c r="A41" s="12"/>
    </row>
    <row r="42" spans="1:1" ht="15.75" customHeight="1" x14ac:dyDescent="0.15">
      <c r="A42" s="12"/>
    </row>
    <row r="43" spans="1:1" ht="15.75" customHeight="1" x14ac:dyDescent="0.15">
      <c r="A43" s="12"/>
    </row>
    <row r="44" spans="1:1" ht="15.75" customHeight="1" x14ac:dyDescent="0.15">
      <c r="A44" s="12"/>
    </row>
    <row r="45" spans="1:1" ht="15.75" customHeight="1" x14ac:dyDescent="0.15">
      <c r="A45" s="12"/>
    </row>
    <row r="46" spans="1:1" ht="15.75" customHeight="1" x14ac:dyDescent="0.15">
      <c r="A46" s="12"/>
    </row>
    <row r="47" spans="1:1" ht="15.75" customHeight="1" x14ac:dyDescent="0.15">
      <c r="A47" s="12"/>
    </row>
    <row r="48" spans="1:1" ht="15.75" customHeight="1" x14ac:dyDescent="0.15">
      <c r="A48" s="12"/>
    </row>
    <row r="49" spans="1:1" ht="15.75" customHeight="1" x14ac:dyDescent="0.15">
      <c r="A49" s="12"/>
    </row>
    <row r="50" spans="1:1" ht="15.75" customHeight="1" x14ac:dyDescent="0.15">
      <c r="A50" s="12"/>
    </row>
    <row r="51" spans="1:1" ht="15.75" customHeight="1" x14ac:dyDescent="0.15">
      <c r="A51" s="12"/>
    </row>
    <row r="52" spans="1:1" ht="15.75" customHeight="1" x14ac:dyDescent="0.15">
      <c r="A52" s="12"/>
    </row>
    <row r="53" spans="1:1" ht="15.75" customHeight="1" x14ac:dyDescent="0.15">
      <c r="A53" s="12"/>
    </row>
    <row r="54" spans="1:1" ht="15.75" customHeight="1" x14ac:dyDescent="0.15">
      <c r="A54" s="12"/>
    </row>
    <row r="55" spans="1:1" ht="15.75" customHeight="1" x14ac:dyDescent="0.15">
      <c r="A55" s="12"/>
    </row>
    <row r="56" spans="1:1" ht="15.75" customHeight="1" x14ac:dyDescent="0.15">
      <c r="A56" s="12"/>
    </row>
    <row r="57" spans="1:1" ht="15.75" customHeight="1" x14ac:dyDescent="0.15">
      <c r="A57" s="12"/>
    </row>
    <row r="58" spans="1:1" ht="15.75" customHeight="1" x14ac:dyDescent="0.15">
      <c r="A58" s="12"/>
    </row>
    <row r="59" spans="1:1" ht="15.75" customHeight="1" x14ac:dyDescent="0.15">
      <c r="A59" s="12"/>
    </row>
    <row r="60" spans="1:1" ht="15.75" customHeight="1" x14ac:dyDescent="0.15">
      <c r="A60" s="12"/>
    </row>
    <row r="61" spans="1:1" ht="15.75" customHeight="1" x14ac:dyDescent="0.15">
      <c r="A61" s="12"/>
    </row>
    <row r="62" spans="1:1" ht="15.75" customHeight="1" x14ac:dyDescent="0.15">
      <c r="A62" s="12"/>
    </row>
    <row r="63" spans="1:1" ht="15.75" customHeight="1" x14ac:dyDescent="0.15">
      <c r="A63" s="12"/>
    </row>
    <row r="64" spans="1:1" ht="15.75" customHeight="1" x14ac:dyDescent="0.15">
      <c r="A64" s="12"/>
    </row>
    <row r="65" spans="1:1" ht="15.75" customHeight="1" x14ac:dyDescent="0.15">
      <c r="A65" s="12"/>
    </row>
    <row r="66" spans="1:1" ht="15.75" customHeight="1" x14ac:dyDescent="0.15">
      <c r="A66" s="12"/>
    </row>
    <row r="67" spans="1:1" ht="15.75" customHeight="1" x14ac:dyDescent="0.15">
      <c r="A67" s="12"/>
    </row>
    <row r="68" spans="1:1" ht="15.75" customHeight="1" x14ac:dyDescent="0.15">
      <c r="A68" s="12"/>
    </row>
    <row r="69" spans="1:1" ht="15.75" customHeight="1" x14ac:dyDescent="0.15">
      <c r="A69" s="12"/>
    </row>
    <row r="70" spans="1:1" ht="15.75" customHeight="1" x14ac:dyDescent="0.15">
      <c r="A70" s="12"/>
    </row>
    <row r="71" spans="1:1" ht="15.75" customHeight="1" x14ac:dyDescent="0.15">
      <c r="A71" s="12"/>
    </row>
    <row r="72" spans="1:1" ht="15.75" customHeight="1" x14ac:dyDescent="0.15">
      <c r="A72" s="12"/>
    </row>
    <row r="73" spans="1:1" ht="15.75" customHeight="1" x14ac:dyDescent="0.15">
      <c r="A73" s="12"/>
    </row>
    <row r="74" spans="1:1" ht="15.75" customHeight="1" x14ac:dyDescent="0.15">
      <c r="A74" s="12"/>
    </row>
    <row r="75" spans="1:1" ht="15.75" customHeight="1" x14ac:dyDescent="0.15">
      <c r="A75" s="12"/>
    </row>
    <row r="76" spans="1:1" ht="15.75" customHeight="1" x14ac:dyDescent="0.15">
      <c r="A76" s="12"/>
    </row>
    <row r="77" spans="1:1" ht="15.75" customHeight="1" x14ac:dyDescent="0.15">
      <c r="A77" s="12"/>
    </row>
    <row r="78" spans="1:1" ht="15.75" customHeight="1" x14ac:dyDescent="0.15">
      <c r="A78" s="12"/>
    </row>
    <row r="79" spans="1:1" ht="15.75" customHeight="1" x14ac:dyDescent="0.15">
      <c r="A79" s="12"/>
    </row>
    <row r="80" spans="1:1" ht="15.75" customHeight="1" x14ac:dyDescent="0.15">
      <c r="A80" s="12"/>
    </row>
    <row r="81" spans="1:1" ht="15.75" customHeight="1" x14ac:dyDescent="0.15">
      <c r="A81" s="12"/>
    </row>
    <row r="82" spans="1:1" ht="15.75" customHeight="1" x14ac:dyDescent="0.15">
      <c r="A82" s="12"/>
    </row>
    <row r="83" spans="1:1" ht="15.75" customHeight="1" x14ac:dyDescent="0.15">
      <c r="A83" s="12"/>
    </row>
    <row r="84" spans="1:1" ht="15.75" customHeight="1" x14ac:dyDescent="0.15">
      <c r="A84" s="12"/>
    </row>
    <row r="85" spans="1:1" ht="15.75" customHeight="1" x14ac:dyDescent="0.15">
      <c r="A85" s="12"/>
    </row>
    <row r="86" spans="1:1" ht="15.75" customHeight="1" x14ac:dyDescent="0.15">
      <c r="A86" s="12"/>
    </row>
    <row r="87" spans="1:1" ht="15.75" customHeight="1" x14ac:dyDescent="0.15">
      <c r="A87" s="12"/>
    </row>
    <row r="88" spans="1:1" ht="15.75" customHeight="1" x14ac:dyDescent="0.15">
      <c r="A88" s="12"/>
    </row>
    <row r="89" spans="1:1" ht="15.75" customHeight="1" x14ac:dyDescent="0.15">
      <c r="A89" s="12"/>
    </row>
    <row r="90" spans="1:1" ht="15.75" customHeight="1" x14ac:dyDescent="0.15">
      <c r="A90" s="12"/>
    </row>
    <row r="91" spans="1:1" ht="15.75" customHeight="1" x14ac:dyDescent="0.15">
      <c r="A91" s="12"/>
    </row>
    <row r="92" spans="1:1" ht="15.75" customHeight="1" x14ac:dyDescent="0.15">
      <c r="A92" s="12"/>
    </row>
    <row r="93" spans="1:1" ht="15.75" customHeight="1" x14ac:dyDescent="0.15">
      <c r="A93" s="12"/>
    </row>
    <row r="94" spans="1:1" ht="15.75" customHeight="1" x14ac:dyDescent="0.15">
      <c r="A94" s="12"/>
    </row>
    <row r="95" spans="1:1" ht="15.75" customHeight="1" x14ac:dyDescent="0.15">
      <c r="A95" s="12"/>
    </row>
    <row r="96" spans="1:1" ht="15.75" customHeight="1" x14ac:dyDescent="0.15">
      <c r="A96" s="12"/>
    </row>
    <row r="97" spans="1:1" ht="15.75" customHeight="1" x14ac:dyDescent="0.15">
      <c r="A97" s="12"/>
    </row>
    <row r="98" spans="1:1" ht="15.75" customHeight="1" x14ac:dyDescent="0.15">
      <c r="A98" s="12"/>
    </row>
    <row r="99" spans="1:1" ht="15.75" customHeight="1" x14ac:dyDescent="0.15">
      <c r="A99" s="12"/>
    </row>
    <row r="100" spans="1:1" ht="15.75" customHeight="1" x14ac:dyDescent="0.15">
      <c r="A100" s="12"/>
    </row>
    <row r="101" spans="1:1" ht="15.75" customHeight="1" x14ac:dyDescent="0.15">
      <c r="A101" s="12"/>
    </row>
    <row r="102" spans="1:1" ht="15.75" customHeight="1" x14ac:dyDescent="0.15">
      <c r="A102" s="12"/>
    </row>
    <row r="103" spans="1:1" ht="15.75" customHeight="1" x14ac:dyDescent="0.15">
      <c r="A103" s="12"/>
    </row>
    <row r="104" spans="1:1" ht="15.75" customHeight="1" x14ac:dyDescent="0.15">
      <c r="A104" s="12"/>
    </row>
    <row r="105" spans="1:1" ht="15.75" customHeight="1" x14ac:dyDescent="0.15">
      <c r="A105" s="12"/>
    </row>
    <row r="106" spans="1:1" ht="15.75" customHeight="1" x14ac:dyDescent="0.15">
      <c r="A106" s="12"/>
    </row>
    <row r="107" spans="1:1" ht="15.75" customHeight="1" x14ac:dyDescent="0.15">
      <c r="A107" s="12"/>
    </row>
    <row r="108" spans="1:1" ht="15.75" customHeight="1" x14ac:dyDescent="0.15">
      <c r="A108" s="12"/>
    </row>
    <row r="109" spans="1:1" ht="15.75" customHeight="1" x14ac:dyDescent="0.15">
      <c r="A109" s="12"/>
    </row>
    <row r="110" spans="1:1" ht="15.75" customHeight="1" x14ac:dyDescent="0.15">
      <c r="A110" s="12"/>
    </row>
    <row r="111" spans="1:1" ht="15.75" customHeight="1" x14ac:dyDescent="0.15">
      <c r="A111" s="12"/>
    </row>
    <row r="112" spans="1:1" ht="15.75" customHeight="1" x14ac:dyDescent="0.15">
      <c r="A112" s="12"/>
    </row>
    <row r="113" spans="1:1" ht="15.75" customHeight="1" x14ac:dyDescent="0.15">
      <c r="A113" s="12"/>
    </row>
    <row r="114" spans="1:1" ht="15.75" customHeight="1" x14ac:dyDescent="0.15">
      <c r="A114" s="12"/>
    </row>
    <row r="115" spans="1:1" ht="15.75" customHeight="1" x14ac:dyDescent="0.15">
      <c r="A115" s="12"/>
    </row>
    <row r="116" spans="1:1" ht="15.75" customHeight="1" x14ac:dyDescent="0.15">
      <c r="A116" s="12"/>
    </row>
    <row r="117" spans="1:1" ht="15.75" customHeight="1" x14ac:dyDescent="0.15">
      <c r="A117" s="12"/>
    </row>
    <row r="118" spans="1:1" ht="15.75" customHeight="1" x14ac:dyDescent="0.15">
      <c r="A118" s="12"/>
    </row>
    <row r="119" spans="1:1" ht="15.75" customHeight="1" x14ac:dyDescent="0.15">
      <c r="A119" s="12"/>
    </row>
    <row r="120" spans="1:1" ht="15.75" customHeight="1" x14ac:dyDescent="0.15">
      <c r="A120" s="12"/>
    </row>
    <row r="121" spans="1:1" ht="15.75" customHeight="1" x14ac:dyDescent="0.15">
      <c r="A121" s="12"/>
    </row>
    <row r="122" spans="1:1" ht="15.75" customHeight="1" x14ac:dyDescent="0.15">
      <c r="A122" s="12"/>
    </row>
    <row r="123" spans="1:1" ht="15.75" customHeight="1" x14ac:dyDescent="0.15">
      <c r="A123" s="12"/>
    </row>
    <row r="124" spans="1:1" ht="15.75" customHeight="1" x14ac:dyDescent="0.15">
      <c r="A124" s="12"/>
    </row>
    <row r="125" spans="1:1" ht="15.75" customHeight="1" x14ac:dyDescent="0.15">
      <c r="A125" s="12"/>
    </row>
    <row r="126" spans="1:1" ht="15.75" customHeight="1" x14ac:dyDescent="0.15">
      <c r="A126" s="12"/>
    </row>
    <row r="127" spans="1:1" ht="15.75" customHeight="1" x14ac:dyDescent="0.15">
      <c r="A127" s="12"/>
    </row>
    <row r="128" spans="1:1" ht="15.75" customHeight="1" x14ac:dyDescent="0.15">
      <c r="A128" s="12"/>
    </row>
    <row r="129" spans="1:1" ht="15.75" customHeight="1" x14ac:dyDescent="0.15">
      <c r="A129" s="12"/>
    </row>
    <row r="130" spans="1:1" ht="15.75" customHeight="1" x14ac:dyDescent="0.15">
      <c r="A130" s="12"/>
    </row>
    <row r="131" spans="1:1" ht="15.75" customHeight="1" x14ac:dyDescent="0.15">
      <c r="A131" s="12"/>
    </row>
    <row r="132" spans="1:1" ht="15.75" customHeight="1" x14ac:dyDescent="0.15">
      <c r="A132" s="12"/>
    </row>
    <row r="133" spans="1:1" ht="15.75" customHeight="1" x14ac:dyDescent="0.15">
      <c r="A133" s="12"/>
    </row>
    <row r="134" spans="1:1" ht="15.75" customHeight="1" x14ac:dyDescent="0.15">
      <c r="A134" s="12"/>
    </row>
    <row r="135" spans="1:1" ht="15.75" customHeight="1" x14ac:dyDescent="0.15">
      <c r="A135" s="12"/>
    </row>
    <row r="136" spans="1:1" ht="15.75" customHeight="1" x14ac:dyDescent="0.15">
      <c r="A136" s="12"/>
    </row>
    <row r="137" spans="1:1" ht="15.75" customHeight="1" x14ac:dyDescent="0.15">
      <c r="A137" s="12"/>
    </row>
    <row r="138" spans="1:1" ht="15.75" customHeight="1" x14ac:dyDescent="0.15">
      <c r="A138" s="12"/>
    </row>
    <row r="139" spans="1:1" ht="15.75" customHeight="1" x14ac:dyDescent="0.15">
      <c r="A139" s="12"/>
    </row>
    <row r="140" spans="1:1" ht="15.75" customHeight="1" x14ac:dyDescent="0.15">
      <c r="A140" s="12"/>
    </row>
    <row r="141" spans="1:1" ht="15.75" customHeight="1" x14ac:dyDescent="0.15">
      <c r="A141" s="12"/>
    </row>
    <row r="142" spans="1:1" ht="15.75" customHeight="1" x14ac:dyDescent="0.15">
      <c r="A142" s="12"/>
    </row>
    <row r="143" spans="1:1" ht="15.75" customHeight="1" x14ac:dyDescent="0.15">
      <c r="A143" s="12"/>
    </row>
    <row r="144" spans="1:1" ht="15.75" customHeight="1" x14ac:dyDescent="0.15">
      <c r="A144" s="12"/>
    </row>
    <row r="145" spans="1:1" ht="15.75" customHeight="1" x14ac:dyDescent="0.15">
      <c r="A145" s="12"/>
    </row>
    <row r="146" spans="1:1" ht="15.75" customHeight="1" x14ac:dyDescent="0.15">
      <c r="A146" s="12"/>
    </row>
    <row r="147" spans="1:1" ht="15.75" customHeight="1" x14ac:dyDescent="0.15">
      <c r="A147" s="12"/>
    </row>
    <row r="148" spans="1:1" ht="15.75" customHeight="1" x14ac:dyDescent="0.15">
      <c r="A148" s="12"/>
    </row>
    <row r="149" spans="1:1" ht="15.75" customHeight="1" x14ac:dyDescent="0.15">
      <c r="A149" s="12"/>
    </row>
    <row r="150" spans="1:1" ht="15.75" customHeight="1" x14ac:dyDescent="0.15">
      <c r="A150" s="12"/>
    </row>
    <row r="151" spans="1:1" ht="15.75" customHeight="1" x14ac:dyDescent="0.15">
      <c r="A151" s="12"/>
    </row>
    <row r="152" spans="1:1" ht="15.75" customHeight="1" x14ac:dyDescent="0.15">
      <c r="A152" s="12"/>
    </row>
    <row r="153" spans="1:1" ht="15.75" customHeight="1" x14ac:dyDescent="0.15">
      <c r="A153" s="12"/>
    </row>
    <row r="154" spans="1:1" ht="15.75" customHeight="1" x14ac:dyDescent="0.15">
      <c r="A154" s="12"/>
    </row>
    <row r="155" spans="1:1" ht="15.75" customHeight="1" x14ac:dyDescent="0.15">
      <c r="A155" s="12"/>
    </row>
    <row r="156" spans="1:1" ht="15.75" customHeight="1" x14ac:dyDescent="0.15">
      <c r="A156" s="12"/>
    </row>
    <row r="157" spans="1:1" ht="15.75" customHeight="1" x14ac:dyDescent="0.15">
      <c r="A157" s="12"/>
    </row>
    <row r="158" spans="1:1" ht="15.75" customHeight="1" x14ac:dyDescent="0.15">
      <c r="A158" s="12"/>
    </row>
    <row r="159" spans="1:1" ht="15.75" customHeight="1" x14ac:dyDescent="0.15">
      <c r="A159" s="12"/>
    </row>
    <row r="160" spans="1:1" ht="15.75" customHeight="1" x14ac:dyDescent="0.15">
      <c r="A160" s="12"/>
    </row>
    <row r="161" spans="1:1" ht="15.75" customHeight="1" x14ac:dyDescent="0.15">
      <c r="A161" s="12"/>
    </row>
    <row r="162" spans="1:1" ht="15.75" customHeight="1" x14ac:dyDescent="0.15">
      <c r="A162" s="12"/>
    </row>
    <row r="163" spans="1:1" ht="15.75" customHeight="1" x14ac:dyDescent="0.15">
      <c r="A163" s="12"/>
    </row>
    <row r="164" spans="1:1" ht="15.75" customHeight="1" x14ac:dyDescent="0.15">
      <c r="A164" s="12"/>
    </row>
    <row r="165" spans="1:1" ht="15.75" customHeight="1" x14ac:dyDescent="0.15">
      <c r="A165" s="12"/>
    </row>
    <row r="166" spans="1:1" ht="15.75" customHeight="1" x14ac:dyDescent="0.15">
      <c r="A166" s="12"/>
    </row>
    <row r="167" spans="1:1" ht="15.75" customHeight="1" x14ac:dyDescent="0.15">
      <c r="A167" s="12"/>
    </row>
    <row r="168" spans="1:1" ht="15.75" customHeight="1" x14ac:dyDescent="0.15">
      <c r="A168" s="12"/>
    </row>
    <row r="169" spans="1:1" ht="15.75" customHeight="1" x14ac:dyDescent="0.15">
      <c r="A169" s="12"/>
    </row>
    <row r="170" spans="1:1" ht="15.75" customHeight="1" x14ac:dyDescent="0.15">
      <c r="A170" s="12"/>
    </row>
    <row r="171" spans="1:1" ht="15.75" customHeight="1" x14ac:dyDescent="0.15">
      <c r="A171" s="12"/>
    </row>
    <row r="172" spans="1:1" ht="15.75" customHeight="1" x14ac:dyDescent="0.15">
      <c r="A172" s="12"/>
    </row>
    <row r="173" spans="1:1" ht="15.75" customHeight="1" x14ac:dyDescent="0.15">
      <c r="A173" s="12"/>
    </row>
    <row r="174" spans="1:1" ht="15.75" customHeight="1" x14ac:dyDescent="0.15">
      <c r="A174" s="12"/>
    </row>
    <row r="175" spans="1:1" ht="15.75" customHeight="1" x14ac:dyDescent="0.15">
      <c r="A175" s="12"/>
    </row>
    <row r="176" spans="1:1" ht="15.75" customHeight="1" x14ac:dyDescent="0.15">
      <c r="A176" s="12"/>
    </row>
    <row r="177" spans="1:1" ht="15.75" customHeight="1" x14ac:dyDescent="0.15">
      <c r="A177" s="12"/>
    </row>
    <row r="178" spans="1:1" ht="15.75" customHeight="1" x14ac:dyDescent="0.15">
      <c r="A178" s="12"/>
    </row>
    <row r="179" spans="1:1" ht="15.75" customHeight="1" x14ac:dyDescent="0.15">
      <c r="A179" s="12"/>
    </row>
    <row r="180" spans="1:1" ht="15.75" customHeight="1" x14ac:dyDescent="0.15">
      <c r="A180" s="12"/>
    </row>
    <row r="181" spans="1:1" ht="15.75" customHeight="1" x14ac:dyDescent="0.15">
      <c r="A181" s="12"/>
    </row>
    <row r="182" spans="1:1" ht="15.75" customHeight="1" x14ac:dyDescent="0.15">
      <c r="A182" s="12"/>
    </row>
    <row r="183" spans="1:1" ht="15.75" customHeight="1" x14ac:dyDescent="0.15">
      <c r="A183" s="12"/>
    </row>
    <row r="184" spans="1:1" ht="15.75" customHeight="1" x14ac:dyDescent="0.15">
      <c r="A184" s="12"/>
    </row>
    <row r="185" spans="1:1" ht="15.75" customHeight="1" x14ac:dyDescent="0.15">
      <c r="A185" s="12"/>
    </row>
    <row r="186" spans="1:1" ht="15.75" customHeight="1" x14ac:dyDescent="0.15">
      <c r="A186" s="12"/>
    </row>
    <row r="187" spans="1:1" ht="15.75" customHeight="1" x14ac:dyDescent="0.15">
      <c r="A187" s="12"/>
    </row>
    <row r="188" spans="1:1" ht="15.75" customHeight="1" x14ac:dyDescent="0.15">
      <c r="A188" s="12"/>
    </row>
    <row r="189" spans="1:1" ht="15.75" customHeight="1" x14ac:dyDescent="0.15">
      <c r="A189" s="12"/>
    </row>
    <row r="190" spans="1:1" ht="15.75" customHeight="1" x14ac:dyDescent="0.15">
      <c r="A190" s="12"/>
    </row>
    <row r="191" spans="1:1" ht="15.75" customHeight="1" x14ac:dyDescent="0.15">
      <c r="A191" s="12"/>
    </row>
    <row r="192" spans="1:1" ht="15.75" customHeight="1" x14ac:dyDescent="0.15">
      <c r="A192" s="12"/>
    </row>
    <row r="193" spans="1:1" ht="15.75" customHeight="1" x14ac:dyDescent="0.15">
      <c r="A193" s="12"/>
    </row>
    <row r="194" spans="1:1" ht="15.75" customHeight="1" x14ac:dyDescent="0.15">
      <c r="A194" s="12"/>
    </row>
    <row r="195" spans="1:1" ht="15.75" customHeight="1" x14ac:dyDescent="0.15">
      <c r="A195" s="12"/>
    </row>
    <row r="196" spans="1:1" ht="15.75" customHeight="1" x14ac:dyDescent="0.15">
      <c r="A196" s="12"/>
    </row>
    <row r="197" spans="1:1" ht="15.75" customHeight="1" x14ac:dyDescent="0.15">
      <c r="A197" s="12"/>
    </row>
    <row r="198" spans="1:1" ht="15.75" customHeight="1" x14ac:dyDescent="0.15">
      <c r="A198" s="12"/>
    </row>
    <row r="199" spans="1:1" ht="15.75" customHeight="1" x14ac:dyDescent="0.15">
      <c r="A199" s="12"/>
    </row>
    <row r="200" spans="1:1" ht="15.75" customHeight="1" x14ac:dyDescent="0.15">
      <c r="A200" s="12"/>
    </row>
    <row r="201" spans="1:1" ht="15.75" customHeight="1" x14ac:dyDescent="0.15">
      <c r="A201" s="12"/>
    </row>
    <row r="202" spans="1:1" ht="15.75" customHeight="1" x14ac:dyDescent="0.15">
      <c r="A202" s="12"/>
    </row>
    <row r="203" spans="1:1" ht="15.75" customHeight="1" x14ac:dyDescent="0.15">
      <c r="A203" s="12"/>
    </row>
    <row r="204" spans="1:1" ht="15.75" customHeight="1" x14ac:dyDescent="0.15">
      <c r="A204" s="12"/>
    </row>
    <row r="205" spans="1:1" ht="15.75" customHeight="1" x14ac:dyDescent="0.15">
      <c r="A205" s="12"/>
    </row>
    <row r="206" spans="1:1" ht="15.75" customHeight="1" x14ac:dyDescent="0.15">
      <c r="A206" s="12"/>
    </row>
    <row r="207" spans="1:1" ht="15.75" customHeight="1" x14ac:dyDescent="0.15">
      <c r="A207" s="12"/>
    </row>
    <row r="208" spans="1:1" ht="15.75" customHeight="1" x14ac:dyDescent="0.15">
      <c r="A208" s="12"/>
    </row>
    <row r="209" spans="1:1" ht="15.75" customHeight="1" x14ac:dyDescent="0.15">
      <c r="A209" s="12"/>
    </row>
    <row r="210" spans="1:1" ht="15.75" customHeight="1" x14ac:dyDescent="0.15">
      <c r="A210" s="12"/>
    </row>
    <row r="211" spans="1:1" ht="15.75" customHeight="1" x14ac:dyDescent="0.15">
      <c r="A211" s="12"/>
    </row>
    <row r="212" spans="1:1" ht="15.75" customHeight="1" x14ac:dyDescent="0.15">
      <c r="A212" s="12"/>
    </row>
    <row r="213" spans="1:1" ht="15.75" customHeight="1" x14ac:dyDescent="0.15">
      <c r="A213" s="12"/>
    </row>
    <row r="214" spans="1:1" ht="15.75" customHeight="1" x14ac:dyDescent="0.15">
      <c r="A214" s="12"/>
    </row>
    <row r="215" spans="1:1" ht="15.75" customHeight="1" x14ac:dyDescent="0.15">
      <c r="A215" s="12"/>
    </row>
    <row r="216" spans="1:1" ht="15.75" customHeight="1" x14ac:dyDescent="0.15">
      <c r="A216" s="12"/>
    </row>
    <row r="217" spans="1:1" ht="15.75" customHeight="1" x14ac:dyDescent="0.15">
      <c r="A217" s="12"/>
    </row>
    <row r="218" spans="1:1" ht="15.75" customHeight="1" x14ac:dyDescent="0.15">
      <c r="A218" s="12"/>
    </row>
    <row r="219" spans="1:1" ht="15.75" customHeight="1" x14ac:dyDescent="0.15">
      <c r="A219" s="12"/>
    </row>
    <row r="220" spans="1:1" ht="15.75" customHeight="1" x14ac:dyDescent="0.15">
      <c r="A220" s="12"/>
    </row>
    <row r="221" spans="1:1" ht="15.75" customHeight="1" x14ac:dyDescent="0.15">
      <c r="A221" s="12"/>
    </row>
    <row r="222" spans="1:1" ht="15.75" customHeight="1" x14ac:dyDescent="0.15">
      <c r="A222" s="12"/>
    </row>
    <row r="223" spans="1:1" ht="15.75" customHeight="1" x14ac:dyDescent="0.15">
      <c r="A223" s="12"/>
    </row>
    <row r="224" spans="1:1" ht="15.75" customHeight="1" x14ac:dyDescent="0.15">
      <c r="A224" s="12"/>
    </row>
    <row r="225" spans="1:1" ht="15.75" customHeight="1" x14ac:dyDescent="0.15">
      <c r="A225" s="12"/>
    </row>
    <row r="226" spans="1:1" ht="15.75" customHeight="1" x14ac:dyDescent="0.15">
      <c r="A226" s="12"/>
    </row>
    <row r="227" spans="1:1" ht="15.75" customHeight="1" x14ac:dyDescent="0.15"/>
    <row r="228" spans="1:1" ht="15.75" customHeight="1" x14ac:dyDescent="0.15"/>
    <row r="229" spans="1:1" ht="15.75" customHeight="1" x14ac:dyDescent="0.15"/>
    <row r="230" spans="1:1" ht="15.75" customHeight="1" x14ac:dyDescent="0.15"/>
    <row r="231" spans="1:1" ht="15.75" customHeight="1" x14ac:dyDescent="0.15"/>
    <row r="232" spans="1:1" ht="15.75" customHeight="1" x14ac:dyDescent="0.15"/>
    <row r="233" spans="1:1" ht="15.75" customHeight="1" x14ac:dyDescent="0.15"/>
    <row r="234" spans="1:1" ht="15.75" customHeight="1" x14ac:dyDescent="0.15"/>
    <row r="235" spans="1:1" ht="15.75" customHeight="1" x14ac:dyDescent="0.15"/>
    <row r="236" spans="1:1" ht="15.75" customHeight="1" x14ac:dyDescent="0.15"/>
    <row r="237" spans="1:1" ht="15.75" customHeight="1" x14ac:dyDescent="0.15"/>
    <row r="238" spans="1:1" ht="15.75" customHeight="1" x14ac:dyDescent="0.15"/>
    <row r="239" spans="1:1" ht="15.75" customHeight="1" x14ac:dyDescent="0.15"/>
    <row r="240" spans="1:1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6">
    <mergeCell ref="R1:W1"/>
    <mergeCell ref="A1:A2"/>
    <mergeCell ref="B1:G1"/>
    <mergeCell ref="I1:I2"/>
    <mergeCell ref="J1:O1"/>
    <mergeCell ref="Q1:Q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workbookViewId="0">
      <selection activeCell="M34" sqref="M34"/>
    </sheetView>
  </sheetViews>
  <sheetFormatPr baseColWidth="10" defaultColWidth="12.6640625" defaultRowHeight="15" customHeight="1" x14ac:dyDescent="0.15"/>
  <cols>
    <col min="1" max="6" width="12.6640625" customWidth="1"/>
  </cols>
  <sheetData>
    <row r="1" spans="1:10" ht="15.75" customHeight="1" x14ac:dyDescent="0.15">
      <c r="A1" s="79" t="s">
        <v>63</v>
      </c>
      <c r="B1" s="80"/>
      <c r="C1" s="81" t="s">
        <v>64</v>
      </c>
      <c r="D1" s="80"/>
      <c r="E1" s="81" t="s">
        <v>65</v>
      </c>
      <c r="F1" s="80"/>
      <c r="G1" s="81" t="s">
        <v>66</v>
      </c>
      <c r="H1" s="80"/>
      <c r="I1" s="81" t="s">
        <v>67</v>
      </c>
      <c r="J1" s="80"/>
    </row>
    <row r="2" spans="1:10" ht="15.75" customHeight="1" x14ac:dyDescent="0.2">
      <c r="A2" s="73" t="s">
        <v>68</v>
      </c>
      <c r="B2" s="54"/>
      <c r="C2" s="54"/>
      <c r="D2" s="54"/>
      <c r="E2" s="54"/>
      <c r="F2" s="54"/>
      <c r="G2" s="54"/>
      <c r="H2" s="54"/>
      <c r="I2" s="54"/>
      <c r="J2" s="70"/>
    </row>
    <row r="3" spans="1:10" ht="15.75" customHeight="1" x14ac:dyDescent="0.15">
      <c r="A3" s="37" t="s">
        <v>69</v>
      </c>
      <c r="B3" s="38" t="s">
        <v>70</v>
      </c>
      <c r="C3" s="38" t="s">
        <v>69</v>
      </c>
      <c r="D3" s="38" t="s">
        <v>70</v>
      </c>
      <c r="E3" s="38" t="s">
        <v>69</v>
      </c>
      <c r="F3" s="38" t="s">
        <v>70</v>
      </c>
      <c r="G3" s="38" t="s">
        <v>69</v>
      </c>
      <c r="H3" s="38" t="s">
        <v>70</v>
      </c>
      <c r="I3" s="38" t="s">
        <v>69</v>
      </c>
      <c r="J3" s="38" t="s">
        <v>70</v>
      </c>
    </row>
    <row r="4" spans="1:10" ht="15.75" customHeight="1" x14ac:dyDescent="0.15">
      <c r="A4" s="39">
        <v>1</v>
      </c>
      <c r="B4" s="40" t="s">
        <v>71</v>
      </c>
      <c r="C4" s="41">
        <v>1</v>
      </c>
      <c r="D4" s="40" t="s">
        <v>72</v>
      </c>
      <c r="E4" s="41">
        <v>1</v>
      </c>
      <c r="F4" s="40" t="s">
        <v>73</v>
      </c>
      <c r="G4" s="41">
        <v>1</v>
      </c>
      <c r="H4" s="40" t="s">
        <v>74</v>
      </c>
      <c r="I4" s="41">
        <v>1</v>
      </c>
      <c r="J4" s="40" t="s">
        <v>75</v>
      </c>
    </row>
    <row r="5" spans="1:10" ht="15.75" customHeight="1" x14ac:dyDescent="0.15">
      <c r="A5" s="39">
        <v>2</v>
      </c>
      <c r="B5" s="40" t="s">
        <v>76</v>
      </c>
      <c r="C5" s="41">
        <v>2</v>
      </c>
      <c r="D5" s="40" t="s">
        <v>76</v>
      </c>
      <c r="E5" s="41">
        <v>2</v>
      </c>
      <c r="F5" s="40" t="s">
        <v>77</v>
      </c>
      <c r="G5" s="41">
        <v>2</v>
      </c>
      <c r="H5" s="40" t="s">
        <v>78</v>
      </c>
      <c r="I5" s="41">
        <v>2</v>
      </c>
      <c r="J5" s="40" t="s">
        <v>79</v>
      </c>
    </row>
    <row r="6" spans="1:10" ht="15.75" customHeight="1" x14ac:dyDescent="0.15">
      <c r="A6" s="39">
        <v>3</v>
      </c>
      <c r="B6" s="40" t="s">
        <v>80</v>
      </c>
      <c r="C6" s="41">
        <v>3</v>
      </c>
      <c r="D6" s="40" t="s">
        <v>71</v>
      </c>
      <c r="E6" s="41">
        <v>3</v>
      </c>
      <c r="F6" s="40" t="s">
        <v>81</v>
      </c>
      <c r="G6" s="41">
        <v>3</v>
      </c>
      <c r="H6" s="40" t="s">
        <v>82</v>
      </c>
      <c r="I6" s="41">
        <v>3</v>
      </c>
      <c r="J6" s="40" t="s">
        <v>83</v>
      </c>
    </row>
    <row r="7" spans="1:10" ht="15.75" customHeight="1" x14ac:dyDescent="0.15">
      <c r="A7" s="39">
        <v>4</v>
      </c>
      <c r="B7" s="40" t="s">
        <v>84</v>
      </c>
      <c r="C7" s="41">
        <v>4</v>
      </c>
      <c r="D7" s="40" t="s">
        <v>72</v>
      </c>
      <c r="E7" s="41">
        <v>4</v>
      </c>
      <c r="F7" s="40" t="s">
        <v>77</v>
      </c>
      <c r="G7" s="41">
        <v>4</v>
      </c>
      <c r="H7" s="40" t="s">
        <v>85</v>
      </c>
      <c r="I7" s="41">
        <v>4</v>
      </c>
      <c r="J7" s="40" t="s">
        <v>86</v>
      </c>
    </row>
    <row r="8" spans="1:10" ht="15.75" customHeight="1" x14ac:dyDescent="0.15">
      <c r="A8" s="39">
        <v>5</v>
      </c>
      <c r="B8" s="40" t="s">
        <v>17</v>
      </c>
      <c r="C8" s="41">
        <v>5</v>
      </c>
      <c r="D8" s="40" t="s">
        <v>72</v>
      </c>
      <c r="E8" s="41">
        <v>5</v>
      </c>
      <c r="F8" s="40" t="s">
        <v>87</v>
      </c>
      <c r="G8" s="41">
        <v>5</v>
      </c>
      <c r="H8" s="40" t="s">
        <v>88</v>
      </c>
      <c r="I8" s="41">
        <v>5</v>
      </c>
      <c r="J8" s="40" t="s">
        <v>89</v>
      </c>
    </row>
    <row r="9" spans="1:10" ht="15.75" customHeight="1" x14ac:dyDescent="0.15">
      <c r="A9" s="39">
        <v>6</v>
      </c>
      <c r="B9" s="40" t="s">
        <v>90</v>
      </c>
      <c r="C9" s="41"/>
      <c r="D9" s="40"/>
      <c r="E9" s="41"/>
      <c r="F9" s="40"/>
      <c r="G9" s="41"/>
      <c r="H9" s="40"/>
      <c r="I9" s="41"/>
      <c r="J9" s="40"/>
    </row>
    <row r="10" spans="1:10" ht="15.75" customHeight="1" x14ac:dyDescent="0.15">
      <c r="A10" s="39">
        <v>7</v>
      </c>
      <c r="B10" s="40" t="s">
        <v>71</v>
      </c>
      <c r="C10" s="41"/>
      <c r="D10" s="40"/>
      <c r="E10" s="41"/>
      <c r="F10" s="40"/>
      <c r="G10" s="41"/>
      <c r="H10" s="40"/>
      <c r="I10" s="41"/>
      <c r="J10" s="40"/>
    </row>
    <row r="11" spans="1:10" ht="15.75" customHeight="1" x14ac:dyDescent="0.15">
      <c r="A11" s="39">
        <v>8</v>
      </c>
      <c r="B11" s="40" t="s">
        <v>13</v>
      </c>
      <c r="C11" s="41"/>
      <c r="D11" s="40"/>
      <c r="E11" s="41"/>
      <c r="F11" s="40"/>
      <c r="G11" s="41"/>
      <c r="H11" s="40"/>
      <c r="I11" s="41"/>
      <c r="J11" s="40"/>
    </row>
    <row r="12" spans="1:10" ht="15.75" customHeight="1" x14ac:dyDescent="0.15">
      <c r="A12" s="39">
        <v>9</v>
      </c>
      <c r="B12" s="40" t="s">
        <v>71</v>
      </c>
      <c r="C12" s="41"/>
      <c r="D12" s="40"/>
      <c r="E12" s="41"/>
      <c r="F12" s="40"/>
      <c r="G12" s="41"/>
      <c r="H12" s="40"/>
      <c r="I12" s="41"/>
      <c r="J12" s="40"/>
    </row>
    <row r="13" spans="1:10" ht="15.75" customHeight="1" x14ac:dyDescent="0.15">
      <c r="A13" s="39">
        <v>10</v>
      </c>
      <c r="B13" s="40" t="s">
        <v>91</v>
      </c>
      <c r="C13" s="41"/>
      <c r="D13" s="40"/>
      <c r="E13" s="41"/>
      <c r="F13" s="40"/>
      <c r="G13" s="41"/>
      <c r="H13" s="40"/>
      <c r="I13" s="41"/>
      <c r="J13" s="40"/>
    </row>
    <row r="14" spans="1:10" ht="15.75" customHeight="1" x14ac:dyDescent="0.2">
      <c r="A14" s="74" t="s">
        <v>92</v>
      </c>
      <c r="B14" s="54"/>
      <c r="C14" s="54"/>
      <c r="D14" s="54"/>
      <c r="E14" s="54"/>
      <c r="F14" s="54"/>
      <c r="G14" s="54"/>
      <c r="H14" s="54"/>
      <c r="I14" s="54"/>
      <c r="J14" s="70"/>
    </row>
    <row r="15" spans="1:10" ht="15.75" customHeight="1" x14ac:dyDescent="0.15">
      <c r="A15" s="37" t="s">
        <v>69</v>
      </c>
      <c r="B15" s="38" t="s">
        <v>70</v>
      </c>
      <c r="C15" s="38" t="s">
        <v>69</v>
      </c>
      <c r="D15" s="38" t="s">
        <v>70</v>
      </c>
      <c r="E15" s="38" t="s">
        <v>69</v>
      </c>
      <c r="F15" s="38" t="s">
        <v>70</v>
      </c>
      <c r="G15" s="38" t="s">
        <v>69</v>
      </c>
      <c r="H15" s="38" t="s">
        <v>70</v>
      </c>
      <c r="I15" s="38" t="s">
        <v>69</v>
      </c>
      <c r="J15" s="38" t="s">
        <v>70</v>
      </c>
    </row>
    <row r="16" spans="1:10" ht="15.75" customHeight="1" x14ac:dyDescent="0.15">
      <c r="A16" s="39">
        <v>1</v>
      </c>
      <c r="B16" s="40" t="s">
        <v>17</v>
      </c>
      <c r="C16" s="41">
        <v>1</v>
      </c>
      <c r="D16" s="40" t="s">
        <v>93</v>
      </c>
      <c r="E16" s="41">
        <v>1</v>
      </c>
      <c r="F16" s="40" t="s">
        <v>94</v>
      </c>
      <c r="G16" s="41">
        <v>1</v>
      </c>
      <c r="H16" s="40" t="s">
        <v>95</v>
      </c>
      <c r="I16" s="41">
        <v>1</v>
      </c>
      <c r="J16" s="40" t="s">
        <v>96</v>
      </c>
    </row>
    <row r="17" spans="1:10" ht="15.75" customHeight="1" x14ac:dyDescent="0.15">
      <c r="A17" s="39">
        <v>2</v>
      </c>
      <c r="B17" s="40" t="s">
        <v>97</v>
      </c>
      <c r="C17" s="41">
        <v>2</v>
      </c>
      <c r="D17" s="40" t="s">
        <v>98</v>
      </c>
      <c r="E17" s="41">
        <v>2</v>
      </c>
      <c r="F17" s="40" t="s">
        <v>99</v>
      </c>
      <c r="G17" s="41">
        <v>2</v>
      </c>
      <c r="H17" s="40" t="s">
        <v>85</v>
      </c>
      <c r="I17" s="41">
        <v>2</v>
      </c>
      <c r="J17" s="40" t="s">
        <v>89</v>
      </c>
    </row>
    <row r="18" spans="1:10" ht="15.75" customHeight="1" x14ac:dyDescent="0.15">
      <c r="A18" s="39">
        <v>3</v>
      </c>
      <c r="B18" s="40" t="s">
        <v>17</v>
      </c>
      <c r="C18" s="41">
        <v>3</v>
      </c>
      <c r="D18" s="40" t="s">
        <v>17</v>
      </c>
      <c r="E18" s="41">
        <v>3</v>
      </c>
      <c r="F18" s="40" t="s">
        <v>100</v>
      </c>
      <c r="G18" s="41">
        <v>3</v>
      </c>
      <c r="H18" s="40" t="s">
        <v>101</v>
      </c>
      <c r="I18" s="41">
        <v>3</v>
      </c>
      <c r="J18" s="40" t="s">
        <v>102</v>
      </c>
    </row>
    <row r="19" spans="1:10" ht="15.75" customHeight="1" x14ac:dyDescent="0.15">
      <c r="A19" s="39">
        <v>4</v>
      </c>
      <c r="B19" s="40" t="s">
        <v>71</v>
      </c>
      <c r="C19" s="41">
        <v>4</v>
      </c>
      <c r="D19" s="40" t="s">
        <v>103</v>
      </c>
      <c r="E19" s="41">
        <v>4</v>
      </c>
      <c r="F19" s="40" t="s">
        <v>104</v>
      </c>
      <c r="G19" s="41">
        <v>4</v>
      </c>
      <c r="H19" s="40" t="s">
        <v>105</v>
      </c>
      <c r="I19" s="41">
        <v>4</v>
      </c>
      <c r="J19" s="40" t="s">
        <v>106</v>
      </c>
    </row>
    <row r="20" spans="1:10" ht="15.75" customHeight="1" x14ac:dyDescent="0.15">
      <c r="A20" s="39">
        <v>5</v>
      </c>
      <c r="B20" s="40" t="s">
        <v>107</v>
      </c>
      <c r="C20" s="41">
        <v>5</v>
      </c>
      <c r="D20" s="40" t="s">
        <v>76</v>
      </c>
      <c r="E20" s="41">
        <v>5</v>
      </c>
      <c r="F20" s="40" t="s">
        <v>108</v>
      </c>
      <c r="G20" s="41">
        <v>5</v>
      </c>
      <c r="H20" s="40" t="s">
        <v>109</v>
      </c>
      <c r="I20" s="41">
        <v>5</v>
      </c>
      <c r="J20" s="40" t="s">
        <v>110</v>
      </c>
    </row>
    <row r="21" spans="1:10" ht="15.75" customHeight="1" x14ac:dyDescent="0.15">
      <c r="A21" s="39">
        <v>6</v>
      </c>
      <c r="B21" s="40" t="s">
        <v>71</v>
      </c>
      <c r="C21" s="41"/>
      <c r="D21" s="40"/>
      <c r="E21" s="41"/>
      <c r="F21" s="40"/>
      <c r="G21" s="41"/>
      <c r="H21" s="40"/>
      <c r="I21" s="41"/>
      <c r="J21" s="40"/>
    </row>
    <row r="22" spans="1:10" ht="15.75" customHeight="1" x14ac:dyDescent="0.15">
      <c r="A22" s="39">
        <v>7</v>
      </c>
      <c r="B22" s="40" t="s">
        <v>80</v>
      </c>
      <c r="C22" s="41"/>
      <c r="D22" s="40"/>
      <c r="E22" s="41"/>
      <c r="F22" s="40"/>
      <c r="G22" s="41"/>
      <c r="H22" s="40"/>
      <c r="I22" s="41"/>
      <c r="J22" s="40"/>
    </row>
    <row r="23" spans="1:10" ht="15.75" customHeight="1" x14ac:dyDescent="0.15">
      <c r="A23" s="39">
        <v>8</v>
      </c>
      <c r="B23" s="40" t="s">
        <v>15</v>
      </c>
      <c r="C23" s="41"/>
      <c r="D23" s="40"/>
      <c r="E23" s="41"/>
      <c r="F23" s="40"/>
      <c r="G23" s="41"/>
      <c r="H23" s="40"/>
      <c r="I23" s="41"/>
      <c r="J23" s="40"/>
    </row>
    <row r="24" spans="1:10" ht="15.75" customHeight="1" x14ac:dyDescent="0.15">
      <c r="A24" s="39">
        <v>9</v>
      </c>
      <c r="B24" s="40" t="s">
        <v>80</v>
      </c>
      <c r="C24" s="41"/>
      <c r="D24" s="40"/>
      <c r="E24" s="41"/>
      <c r="F24" s="40"/>
      <c r="G24" s="41"/>
      <c r="H24" s="40"/>
      <c r="I24" s="41"/>
      <c r="J24" s="40"/>
    </row>
    <row r="25" spans="1:10" ht="15.75" customHeight="1" x14ac:dyDescent="0.15">
      <c r="A25" s="39">
        <v>10</v>
      </c>
      <c r="B25" s="40" t="s">
        <v>15</v>
      </c>
      <c r="C25" s="41"/>
      <c r="D25" s="40"/>
      <c r="E25" s="41"/>
      <c r="F25" s="40"/>
      <c r="G25" s="41"/>
      <c r="H25" s="40"/>
      <c r="I25" s="41"/>
      <c r="J25" s="40"/>
    </row>
    <row r="26" spans="1:10" ht="15.75" customHeight="1" x14ac:dyDescent="0.2">
      <c r="A26" s="75" t="s">
        <v>111</v>
      </c>
      <c r="B26" s="54"/>
      <c r="C26" s="54"/>
      <c r="D26" s="54"/>
      <c r="E26" s="54"/>
      <c r="F26" s="54"/>
      <c r="G26" s="54"/>
      <c r="H26" s="54"/>
      <c r="I26" s="54"/>
      <c r="J26" s="70"/>
    </row>
    <row r="27" spans="1:10" ht="15.75" customHeight="1" x14ac:dyDescent="0.15">
      <c r="A27" s="37" t="s">
        <v>69</v>
      </c>
      <c r="B27" s="38" t="s">
        <v>70</v>
      </c>
      <c r="C27" s="38" t="s">
        <v>69</v>
      </c>
      <c r="D27" s="38" t="s">
        <v>70</v>
      </c>
      <c r="E27" s="38" t="s">
        <v>69</v>
      </c>
      <c r="F27" s="38" t="s">
        <v>70</v>
      </c>
      <c r="G27" s="38" t="s">
        <v>69</v>
      </c>
      <c r="H27" s="38" t="s">
        <v>70</v>
      </c>
      <c r="I27" s="38" t="s">
        <v>69</v>
      </c>
      <c r="J27" s="38" t="s">
        <v>70</v>
      </c>
    </row>
    <row r="28" spans="1:10" ht="15.75" customHeight="1" x14ac:dyDescent="0.15">
      <c r="A28" s="39">
        <v>1</v>
      </c>
      <c r="B28" s="40" t="s">
        <v>17</v>
      </c>
      <c r="C28" s="41">
        <v>1</v>
      </c>
      <c r="D28" s="40" t="s">
        <v>72</v>
      </c>
      <c r="E28" s="41">
        <v>1</v>
      </c>
      <c r="F28" s="40" t="s">
        <v>105</v>
      </c>
      <c r="G28" s="41">
        <v>1</v>
      </c>
      <c r="H28" s="40" t="s">
        <v>74</v>
      </c>
      <c r="I28" s="41">
        <v>1</v>
      </c>
      <c r="J28" s="40" t="s">
        <v>110</v>
      </c>
    </row>
    <row r="29" spans="1:10" ht="15.75" customHeight="1" x14ac:dyDescent="0.15">
      <c r="A29" s="39">
        <v>2</v>
      </c>
      <c r="B29" s="40" t="s">
        <v>112</v>
      </c>
      <c r="C29" s="41">
        <v>2</v>
      </c>
      <c r="D29" s="40" t="s">
        <v>15</v>
      </c>
      <c r="E29" s="41">
        <v>2</v>
      </c>
      <c r="F29" s="40" t="s">
        <v>113</v>
      </c>
      <c r="G29" s="41">
        <v>2</v>
      </c>
      <c r="H29" s="40" t="s">
        <v>114</v>
      </c>
      <c r="I29" s="41">
        <v>2</v>
      </c>
      <c r="J29" s="42">
        <v>45641</v>
      </c>
    </row>
    <row r="30" spans="1:10" ht="15.75" customHeight="1" x14ac:dyDescent="0.15">
      <c r="A30" s="39">
        <v>3</v>
      </c>
      <c r="B30" s="40" t="s">
        <v>13</v>
      </c>
      <c r="C30" s="41">
        <v>3</v>
      </c>
      <c r="D30" s="40" t="s">
        <v>17</v>
      </c>
      <c r="E30" s="41">
        <v>3</v>
      </c>
      <c r="F30" s="40" t="s">
        <v>115</v>
      </c>
      <c r="G30" s="41">
        <v>3</v>
      </c>
      <c r="H30" s="40" t="s">
        <v>116</v>
      </c>
      <c r="I30" s="41">
        <v>3</v>
      </c>
      <c r="J30" s="40" t="s">
        <v>117</v>
      </c>
    </row>
    <row r="31" spans="1:10" ht="15.75" customHeight="1" x14ac:dyDescent="0.15">
      <c r="A31" s="39">
        <v>4</v>
      </c>
      <c r="B31" s="40" t="s">
        <v>15</v>
      </c>
      <c r="C31" s="41">
        <v>4</v>
      </c>
      <c r="D31" s="40" t="s">
        <v>118</v>
      </c>
      <c r="E31" s="41">
        <v>4</v>
      </c>
      <c r="F31" s="40" t="s">
        <v>119</v>
      </c>
      <c r="G31" s="41">
        <v>4</v>
      </c>
      <c r="H31" s="40" t="s">
        <v>120</v>
      </c>
      <c r="I31" s="41">
        <v>4</v>
      </c>
      <c r="J31" s="40" t="s">
        <v>121</v>
      </c>
    </row>
    <row r="32" spans="1:10" ht="15.75" customHeight="1" x14ac:dyDescent="0.15">
      <c r="A32" s="39">
        <v>5</v>
      </c>
      <c r="B32" s="40" t="s">
        <v>71</v>
      </c>
      <c r="C32" s="41">
        <v>5</v>
      </c>
      <c r="D32" s="40" t="s">
        <v>76</v>
      </c>
      <c r="E32" s="41">
        <v>5</v>
      </c>
      <c r="F32" s="40" t="s">
        <v>73</v>
      </c>
      <c r="G32" s="41">
        <v>5</v>
      </c>
      <c r="H32" s="40" t="s">
        <v>122</v>
      </c>
      <c r="I32" s="41">
        <v>5</v>
      </c>
      <c r="J32" s="40" t="s">
        <v>106</v>
      </c>
    </row>
    <row r="33" spans="1:10" ht="15.75" customHeight="1" x14ac:dyDescent="0.15">
      <c r="A33" s="39">
        <v>6</v>
      </c>
      <c r="B33" s="40" t="s">
        <v>71</v>
      </c>
      <c r="C33" s="41"/>
      <c r="D33" s="40"/>
      <c r="E33" s="41"/>
      <c r="F33" s="40"/>
      <c r="G33" s="41"/>
      <c r="H33" s="40"/>
      <c r="I33" s="41"/>
      <c r="J33" s="40"/>
    </row>
    <row r="34" spans="1:10" ht="15.75" customHeight="1" x14ac:dyDescent="0.15">
      <c r="A34" s="39">
        <v>7</v>
      </c>
      <c r="B34" s="40" t="s">
        <v>17</v>
      </c>
      <c r="C34" s="41"/>
      <c r="D34" s="40"/>
      <c r="E34" s="41"/>
      <c r="F34" s="40"/>
      <c r="G34" s="41"/>
      <c r="H34" s="40"/>
      <c r="I34" s="41"/>
      <c r="J34" s="40"/>
    </row>
    <row r="35" spans="1:10" ht="15.75" customHeight="1" x14ac:dyDescent="0.15">
      <c r="A35" s="39">
        <v>8</v>
      </c>
      <c r="B35" s="40" t="s">
        <v>123</v>
      </c>
      <c r="C35" s="41"/>
      <c r="D35" s="40"/>
      <c r="E35" s="41"/>
      <c r="F35" s="40"/>
      <c r="G35" s="41"/>
      <c r="H35" s="40"/>
      <c r="I35" s="41"/>
      <c r="J35" s="40"/>
    </row>
    <row r="36" spans="1:10" ht="15.75" customHeight="1" x14ac:dyDescent="0.15">
      <c r="A36" s="39">
        <v>9</v>
      </c>
      <c r="B36" s="40" t="s">
        <v>13</v>
      </c>
      <c r="C36" s="41"/>
      <c r="D36" s="40"/>
      <c r="E36" s="41"/>
      <c r="F36" s="40"/>
      <c r="G36" s="41"/>
      <c r="H36" s="40"/>
      <c r="I36" s="41"/>
      <c r="J36" s="40"/>
    </row>
    <row r="37" spans="1:10" ht="15.75" customHeight="1" x14ac:dyDescent="0.15">
      <c r="A37" s="39">
        <v>10</v>
      </c>
      <c r="B37" s="40" t="s">
        <v>13</v>
      </c>
      <c r="C37" s="41"/>
      <c r="D37" s="40"/>
      <c r="E37" s="41"/>
      <c r="F37" s="40"/>
      <c r="G37" s="41"/>
      <c r="H37" s="40"/>
      <c r="I37" s="41"/>
      <c r="J37" s="40"/>
    </row>
    <row r="38" spans="1:10" ht="15.75" customHeight="1" x14ac:dyDescent="0.2">
      <c r="A38" s="76" t="s">
        <v>124</v>
      </c>
      <c r="B38" s="54"/>
      <c r="C38" s="54"/>
      <c r="D38" s="54"/>
      <c r="E38" s="54"/>
      <c r="F38" s="54"/>
      <c r="G38" s="54"/>
      <c r="H38" s="54"/>
      <c r="I38" s="54"/>
      <c r="J38" s="70"/>
    </row>
    <row r="39" spans="1:10" ht="15.75" customHeight="1" x14ac:dyDescent="0.15">
      <c r="A39" s="37" t="s">
        <v>69</v>
      </c>
      <c r="B39" s="38" t="s">
        <v>70</v>
      </c>
      <c r="C39" s="38" t="s">
        <v>69</v>
      </c>
      <c r="D39" s="38" t="s">
        <v>70</v>
      </c>
      <c r="E39" s="38" t="s">
        <v>69</v>
      </c>
      <c r="F39" s="38" t="s">
        <v>70</v>
      </c>
      <c r="G39" s="38" t="s">
        <v>69</v>
      </c>
      <c r="H39" s="38" t="s">
        <v>70</v>
      </c>
      <c r="I39" s="38" t="s">
        <v>69</v>
      </c>
      <c r="J39" s="38" t="s">
        <v>70</v>
      </c>
    </row>
    <row r="40" spans="1:10" ht="15.75" customHeight="1" x14ac:dyDescent="0.15">
      <c r="A40" s="39">
        <v>1</v>
      </c>
      <c r="B40" s="40" t="s">
        <v>76</v>
      </c>
      <c r="C40" s="41">
        <v>1</v>
      </c>
      <c r="D40" s="40" t="s">
        <v>125</v>
      </c>
      <c r="E40" s="41">
        <v>1</v>
      </c>
      <c r="F40" s="40" t="s">
        <v>102</v>
      </c>
      <c r="G40" s="41">
        <v>1</v>
      </c>
      <c r="H40" s="40" t="s">
        <v>126</v>
      </c>
      <c r="I40" s="41">
        <v>1</v>
      </c>
      <c r="J40" s="40" t="s">
        <v>127</v>
      </c>
    </row>
    <row r="41" spans="1:10" ht="15.75" customHeight="1" x14ac:dyDescent="0.15">
      <c r="A41" s="39">
        <v>2</v>
      </c>
      <c r="B41" s="40" t="s">
        <v>17</v>
      </c>
      <c r="C41" s="41">
        <v>2</v>
      </c>
      <c r="D41" s="40" t="s">
        <v>72</v>
      </c>
      <c r="E41" s="41">
        <v>2</v>
      </c>
      <c r="F41" s="40" t="s">
        <v>128</v>
      </c>
      <c r="G41" s="41">
        <v>2</v>
      </c>
      <c r="H41" s="40" t="s">
        <v>129</v>
      </c>
      <c r="I41" s="41">
        <v>2</v>
      </c>
      <c r="J41" s="40" t="s">
        <v>75</v>
      </c>
    </row>
    <row r="42" spans="1:10" ht="15.75" customHeight="1" x14ac:dyDescent="0.15">
      <c r="A42" s="39">
        <v>3</v>
      </c>
      <c r="B42" s="40" t="s">
        <v>97</v>
      </c>
      <c r="C42" s="41">
        <v>3</v>
      </c>
      <c r="D42" s="40" t="s">
        <v>71</v>
      </c>
      <c r="E42" s="41">
        <v>3</v>
      </c>
      <c r="F42" s="40" t="s">
        <v>130</v>
      </c>
      <c r="G42" s="41">
        <v>3</v>
      </c>
      <c r="H42" s="40" t="s">
        <v>131</v>
      </c>
      <c r="I42" s="41">
        <v>3</v>
      </c>
      <c r="J42" s="40" t="s">
        <v>83</v>
      </c>
    </row>
    <row r="43" spans="1:10" ht="15.75" customHeight="1" x14ac:dyDescent="0.15">
      <c r="A43" s="39">
        <v>4</v>
      </c>
      <c r="B43" s="40" t="s">
        <v>97</v>
      </c>
      <c r="C43" s="41">
        <v>4</v>
      </c>
      <c r="D43" s="40" t="s">
        <v>76</v>
      </c>
      <c r="E43" s="41">
        <v>4</v>
      </c>
      <c r="F43" s="40" t="s">
        <v>132</v>
      </c>
      <c r="G43" s="41">
        <v>4</v>
      </c>
      <c r="H43" s="40" t="s">
        <v>85</v>
      </c>
      <c r="I43" s="41">
        <v>4</v>
      </c>
      <c r="J43" s="40" t="s">
        <v>133</v>
      </c>
    </row>
    <row r="44" spans="1:10" ht="15.75" customHeight="1" x14ac:dyDescent="0.15">
      <c r="A44" s="39">
        <v>5</v>
      </c>
      <c r="B44" s="40" t="s">
        <v>97</v>
      </c>
      <c r="C44" s="41">
        <v>5</v>
      </c>
      <c r="D44" s="40" t="s">
        <v>76</v>
      </c>
      <c r="E44" s="41">
        <v>5</v>
      </c>
      <c r="F44" s="40" t="s">
        <v>134</v>
      </c>
      <c r="G44" s="41">
        <v>5</v>
      </c>
      <c r="H44" s="40" t="s">
        <v>135</v>
      </c>
      <c r="I44" s="41">
        <v>5</v>
      </c>
      <c r="J44" s="40" t="s">
        <v>79</v>
      </c>
    </row>
    <row r="45" spans="1:10" ht="15.75" customHeight="1" x14ac:dyDescent="0.15">
      <c r="A45" s="39">
        <v>6</v>
      </c>
      <c r="B45" s="40" t="s">
        <v>17</v>
      </c>
      <c r="C45" s="41"/>
      <c r="D45" s="40"/>
      <c r="E45" s="41"/>
      <c r="F45" s="40"/>
      <c r="G45" s="41"/>
      <c r="H45" s="40"/>
      <c r="I45" s="41"/>
      <c r="J45" s="40"/>
    </row>
    <row r="46" spans="1:10" ht="15.75" customHeight="1" x14ac:dyDescent="0.15">
      <c r="A46" s="39">
        <v>7</v>
      </c>
      <c r="B46" s="40" t="s">
        <v>76</v>
      </c>
      <c r="C46" s="41"/>
      <c r="D46" s="40"/>
      <c r="E46" s="41"/>
      <c r="F46" s="40"/>
      <c r="G46" s="41"/>
      <c r="H46" s="40"/>
      <c r="I46" s="41"/>
      <c r="J46" s="40"/>
    </row>
    <row r="47" spans="1:10" ht="15.75" customHeight="1" x14ac:dyDescent="0.15">
      <c r="A47" s="39">
        <v>8</v>
      </c>
      <c r="B47" s="40" t="s">
        <v>76</v>
      </c>
      <c r="C47" s="41"/>
      <c r="D47" s="40"/>
      <c r="E47" s="41"/>
      <c r="F47" s="40"/>
      <c r="G47" s="41"/>
      <c r="H47" s="40"/>
      <c r="I47" s="41"/>
      <c r="J47" s="40"/>
    </row>
    <row r="48" spans="1:10" ht="15.75" customHeight="1" x14ac:dyDescent="0.15">
      <c r="A48" s="39">
        <v>9</v>
      </c>
      <c r="B48" s="40" t="s">
        <v>97</v>
      </c>
      <c r="C48" s="41"/>
      <c r="D48" s="40"/>
      <c r="E48" s="41"/>
      <c r="F48" s="40"/>
      <c r="G48" s="41"/>
      <c r="H48" s="40"/>
      <c r="I48" s="41"/>
      <c r="J48" s="40"/>
    </row>
    <row r="49" spans="1:10" ht="15.75" customHeight="1" x14ac:dyDescent="0.15">
      <c r="A49" s="39">
        <v>10</v>
      </c>
      <c r="B49" s="40" t="s">
        <v>71</v>
      </c>
      <c r="C49" s="41"/>
      <c r="D49" s="40"/>
      <c r="E49" s="41"/>
      <c r="F49" s="40"/>
      <c r="G49" s="41"/>
      <c r="H49" s="40"/>
      <c r="I49" s="41"/>
      <c r="J49" s="40"/>
    </row>
    <row r="50" spans="1:10" ht="15.75" customHeight="1" x14ac:dyDescent="0.2">
      <c r="A50" s="77" t="s">
        <v>136</v>
      </c>
      <c r="B50" s="54"/>
      <c r="C50" s="54"/>
      <c r="D50" s="54"/>
      <c r="E50" s="54"/>
      <c r="F50" s="54"/>
      <c r="G50" s="54"/>
      <c r="H50" s="54"/>
      <c r="I50" s="54"/>
      <c r="J50" s="70"/>
    </row>
    <row r="51" spans="1:10" ht="15.75" customHeight="1" x14ac:dyDescent="0.15">
      <c r="A51" s="37" t="s">
        <v>69</v>
      </c>
      <c r="B51" s="38" t="s">
        <v>70</v>
      </c>
      <c r="C51" s="38" t="s">
        <v>69</v>
      </c>
      <c r="D51" s="38" t="s">
        <v>70</v>
      </c>
      <c r="E51" s="38" t="s">
        <v>69</v>
      </c>
      <c r="F51" s="38" t="s">
        <v>70</v>
      </c>
      <c r="G51" s="38" t="s">
        <v>69</v>
      </c>
      <c r="H51" s="38" t="s">
        <v>70</v>
      </c>
      <c r="I51" s="38" t="s">
        <v>69</v>
      </c>
      <c r="J51" s="38" t="s">
        <v>70</v>
      </c>
    </row>
    <row r="52" spans="1:10" ht="15.75" customHeight="1" x14ac:dyDescent="0.15">
      <c r="A52" s="39">
        <v>1</v>
      </c>
      <c r="B52" s="40" t="s">
        <v>137</v>
      </c>
      <c r="C52" s="41">
        <v>1</v>
      </c>
      <c r="D52" s="40" t="s">
        <v>138</v>
      </c>
      <c r="E52" s="41">
        <v>1</v>
      </c>
      <c r="F52" s="40" t="s">
        <v>102</v>
      </c>
      <c r="G52" s="41">
        <v>1</v>
      </c>
      <c r="H52" s="40" t="s">
        <v>102</v>
      </c>
      <c r="I52" s="41">
        <v>1</v>
      </c>
      <c r="J52" s="40" t="s">
        <v>139</v>
      </c>
    </row>
    <row r="53" spans="1:10" ht="15.75" customHeight="1" x14ac:dyDescent="0.15">
      <c r="A53" s="39">
        <v>2</v>
      </c>
      <c r="B53" s="40" t="s">
        <v>17</v>
      </c>
      <c r="C53" s="41">
        <v>2</v>
      </c>
      <c r="D53" s="40" t="s">
        <v>140</v>
      </c>
      <c r="E53" s="41">
        <v>2</v>
      </c>
      <c r="F53" s="40" t="s">
        <v>141</v>
      </c>
      <c r="G53" s="41">
        <v>2</v>
      </c>
      <c r="H53" s="40" t="s">
        <v>115</v>
      </c>
      <c r="I53" s="41">
        <v>2</v>
      </c>
      <c r="J53" s="40" t="s">
        <v>142</v>
      </c>
    </row>
    <row r="54" spans="1:10" ht="15.75" customHeight="1" x14ac:dyDescent="0.15">
      <c r="A54" s="39">
        <v>3</v>
      </c>
      <c r="B54" s="40" t="s">
        <v>97</v>
      </c>
      <c r="C54" s="41">
        <v>3</v>
      </c>
      <c r="D54" s="40" t="s">
        <v>143</v>
      </c>
      <c r="E54" s="41">
        <v>3</v>
      </c>
      <c r="F54" s="40" t="s">
        <v>144</v>
      </c>
      <c r="G54" s="41">
        <v>3</v>
      </c>
      <c r="H54" s="40" t="s">
        <v>74</v>
      </c>
      <c r="I54" s="41">
        <v>3</v>
      </c>
      <c r="J54" s="40" t="s">
        <v>145</v>
      </c>
    </row>
    <row r="55" spans="1:10" ht="15.75" customHeight="1" x14ac:dyDescent="0.15">
      <c r="A55" s="39">
        <v>4</v>
      </c>
      <c r="B55" s="40" t="s">
        <v>97</v>
      </c>
      <c r="C55" s="41">
        <v>4</v>
      </c>
      <c r="D55" s="40" t="s">
        <v>146</v>
      </c>
      <c r="E55" s="41">
        <v>4</v>
      </c>
      <c r="F55" s="40" t="s">
        <v>147</v>
      </c>
      <c r="G55" s="41">
        <v>4</v>
      </c>
      <c r="H55" s="40" t="s">
        <v>131</v>
      </c>
      <c r="I55" s="41">
        <v>4</v>
      </c>
      <c r="J55" s="40" t="s">
        <v>79</v>
      </c>
    </row>
    <row r="56" spans="1:10" ht="15.75" customHeight="1" x14ac:dyDescent="0.15">
      <c r="A56" s="39">
        <v>5</v>
      </c>
      <c r="B56" s="40" t="s">
        <v>17</v>
      </c>
      <c r="C56" s="41">
        <v>5</v>
      </c>
      <c r="D56" s="40" t="s">
        <v>148</v>
      </c>
      <c r="E56" s="41">
        <v>5</v>
      </c>
      <c r="F56" s="40" t="s">
        <v>134</v>
      </c>
      <c r="G56" s="41">
        <v>5</v>
      </c>
      <c r="H56" s="40" t="s">
        <v>122</v>
      </c>
      <c r="I56" s="41">
        <v>5</v>
      </c>
      <c r="J56" s="40" t="s">
        <v>86</v>
      </c>
    </row>
    <row r="57" spans="1:10" ht="15.75" customHeight="1" x14ac:dyDescent="0.15">
      <c r="A57" s="39">
        <v>6</v>
      </c>
      <c r="B57" s="40" t="s">
        <v>149</v>
      </c>
      <c r="C57" s="41"/>
      <c r="D57" s="40"/>
      <c r="E57" s="41"/>
      <c r="F57" s="40"/>
      <c r="G57" s="41"/>
      <c r="H57" s="40"/>
      <c r="I57" s="41"/>
      <c r="J57" s="40"/>
    </row>
    <row r="58" spans="1:10" ht="15.75" customHeight="1" x14ac:dyDescent="0.15">
      <c r="A58" s="39">
        <v>7</v>
      </c>
      <c r="B58" s="40" t="s">
        <v>97</v>
      </c>
      <c r="C58" s="41"/>
      <c r="D58" s="40"/>
      <c r="E58" s="41"/>
      <c r="F58" s="40"/>
      <c r="G58" s="41"/>
      <c r="H58" s="40"/>
      <c r="I58" s="41"/>
      <c r="J58" s="40"/>
    </row>
    <row r="59" spans="1:10" ht="15.75" customHeight="1" x14ac:dyDescent="0.15">
      <c r="A59" s="39">
        <v>8</v>
      </c>
      <c r="B59" s="40" t="s">
        <v>148</v>
      </c>
      <c r="C59" s="41"/>
      <c r="D59" s="40"/>
      <c r="E59" s="41"/>
      <c r="F59" s="40"/>
      <c r="G59" s="41"/>
      <c r="H59" s="40"/>
      <c r="I59" s="41"/>
      <c r="J59" s="40"/>
    </row>
    <row r="60" spans="1:10" ht="15.75" customHeight="1" x14ac:dyDescent="0.15">
      <c r="A60" s="39">
        <v>9</v>
      </c>
      <c r="B60" s="40" t="s">
        <v>112</v>
      </c>
      <c r="C60" s="41"/>
      <c r="D60" s="40"/>
      <c r="E60" s="41"/>
      <c r="F60" s="40"/>
      <c r="G60" s="41"/>
      <c r="H60" s="40"/>
      <c r="I60" s="41"/>
      <c r="J60" s="40"/>
    </row>
    <row r="61" spans="1:10" ht="15.75" customHeight="1" x14ac:dyDescent="0.15">
      <c r="A61" s="39">
        <v>10</v>
      </c>
      <c r="B61" s="40" t="s">
        <v>71</v>
      </c>
      <c r="C61" s="41"/>
      <c r="D61" s="40"/>
      <c r="E61" s="41"/>
      <c r="F61" s="40"/>
      <c r="G61" s="41"/>
      <c r="H61" s="40"/>
      <c r="I61" s="41"/>
      <c r="J61" s="40"/>
    </row>
    <row r="62" spans="1:10" ht="15.75" customHeight="1" x14ac:dyDescent="0.2">
      <c r="A62" s="78" t="s">
        <v>150</v>
      </c>
      <c r="B62" s="54"/>
      <c r="C62" s="54"/>
      <c r="D62" s="54"/>
      <c r="E62" s="54"/>
      <c r="F62" s="54"/>
      <c r="G62" s="54"/>
      <c r="H62" s="54"/>
      <c r="I62" s="54"/>
      <c r="J62" s="70"/>
    </row>
    <row r="63" spans="1:10" ht="15.75" customHeight="1" x14ac:dyDescent="0.15">
      <c r="A63" s="37" t="s">
        <v>69</v>
      </c>
      <c r="B63" s="38" t="s">
        <v>70</v>
      </c>
      <c r="C63" s="38" t="s">
        <v>69</v>
      </c>
      <c r="D63" s="38" t="s">
        <v>70</v>
      </c>
      <c r="E63" s="38" t="s">
        <v>69</v>
      </c>
      <c r="F63" s="38" t="s">
        <v>70</v>
      </c>
      <c r="G63" s="38" t="s">
        <v>69</v>
      </c>
      <c r="H63" s="38" t="s">
        <v>70</v>
      </c>
      <c r="I63" s="38" t="s">
        <v>69</v>
      </c>
      <c r="J63" s="38" t="s">
        <v>70</v>
      </c>
    </row>
    <row r="64" spans="1:10" ht="15.75" customHeight="1" x14ac:dyDescent="0.15">
      <c r="A64" s="39">
        <v>1</v>
      </c>
      <c r="B64" s="40" t="s">
        <v>80</v>
      </c>
      <c r="C64" s="41">
        <v>1</v>
      </c>
      <c r="D64" s="40" t="s">
        <v>80</v>
      </c>
      <c r="E64" s="41">
        <v>1</v>
      </c>
      <c r="F64" s="40" t="s">
        <v>99</v>
      </c>
      <c r="G64" s="41">
        <v>1</v>
      </c>
      <c r="H64" s="40" t="s">
        <v>151</v>
      </c>
      <c r="I64" s="41">
        <v>1</v>
      </c>
      <c r="J64" s="40" t="s">
        <v>79</v>
      </c>
    </row>
    <row r="65" spans="1:10" ht="15.75" customHeight="1" x14ac:dyDescent="0.15">
      <c r="A65" s="39">
        <v>2</v>
      </c>
      <c r="B65" s="40" t="s">
        <v>76</v>
      </c>
      <c r="C65" s="41">
        <v>2</v>
      </c>
      <c r="D65" s="40" t="s">
        <v>72</v>
      </c>
      <c r="E65" s="41">
        <v>2</v>
      </c>
      <c r="F65" s="40" t="s">
        <v>134</v>
      </c>
      <c r="G65" s="41">
        <v>2</v>
      </c>
      <c r="H65" s="40" t="s">
        <v>134</v>
      </c>
      <c r="I65" s="41">
        <v>2</v>
      </c>
      <c r="J65" s="40" t="s">
        <v>110</v>
      </c>
    </row>
    <row r="66" spans="1:10" ht="15.75" customHeight="1" x14ac:dyDescent="0.15">
      <c r="A66" s="39">
        <v>3</v>
      </c>
      <c r="B66" s="40" t="s">
        <v>71</v>
      </c>
      <c r="C66" s="41">
        <v>3</v>
      </c>
      <c r="D66" s="40" t="s">
        <v>71</v>
      </c>
      <c r="E66" s="41">
        <v>3</v>
      </c>
      <c r="F66" s="40" t="s">
        <v>152</v>
      </c>
      <c r="G66" s="41">
        <v>3</v>
      </c>
      <c r="H66" s="40" t="s">
        <v>153</v>
      </c>
      <c r="I66" s="41">
        <v>3</v>
      </c>
      <c r="J66" s="40" t="s">
        <v>85</v>
      </c>
    </row>
    <row r="67" spans="1:10" ht="15.75" customHeight="1" x14ac:dyDescent="0.15">
      <c r="A67" s="39">
        <v>4</v>
      </c>
      <c r="B67" s="40" t="s">
        <v>15</v>
      </c>
      <c r="C67" s="41">
        <v>4</v>
      </c>
      <c r="D67" s="40" t="s">
        <v>146</v>
      </c>
      <c r="E67" s="41">
        <v>4</v>
      </c>
      <c r="F67" s="40" t="s">
        <v>141</v>
      </c>
      <c r="G67" s="41">
        <v>4</v>
      </c>
      <c r="H67" s="40" t="s">
        <v>154</v>
      </c>
      <c r="I67" s="41">
        <v>4</v>
      </c>
      <c r="J67" s="40" t="s">
        <v>85</v>
      </c>
    </row>
    <row r="68" spans="1:10" ht="15.75" customHeight="1" x14ac:dyDescent="0.15">
      <c r="A68" s="39">
        <v>5</v>
      </c>
      <c r="B68" s="40" t="s">
        <v>76</v>
      </c>
      <c r="C68" s="41">
        <v>5</v>
      </c>
      <c r="D68" s="40" t="s">
        <v>155</v>
      </c>
      <c r="E68" s="41">
        <v>5</v>
      </c>
      <c r="F68" s="40" t="s">
        <v>156</v>
      </c>
      <c r="G68" s="41">
        <v>5</v>
      </c>
      <c r="H68" s="40" t="s">
        <v>156</v>
      </c>
      <c r="I68" s="41">
        <v>5</v>
      </c>
      <c r="J68" s="40" t="s">
        <v>110</v>
      </c>
    </row>
    <row r="69" spans="1:10" ht="15.75" customHeight="1" x14ac:dyDescent="0.15">
      <c r="A69" s="39">
        <v>6</v>
      </c>
      <c r="B69" s="40" t="s">
        <v>76</v>
      </c>
      <c r="C69" s="41"/>
      <c r="D69" s="40"/>
      <c r="E69" s="41"/>
      <c r="F69" s="40"/>
      <c r="G69" s="41"/>
      <c r="H69" s="40"/>
      <c r="I69" s="41"/>
      <c r="J69" s="40"/>
    </row>
    <row r="70" spans="1:10" ht="15.75" customHeight="1" x14ac:dyDescent="0.15">
      <c r="A70" s="39">
        <v>7</v>
      </c>
      <c r="B70" s="40" t="s">
        <v>93</v>
      </c>
      <c r="C70" s="41"/>
      <c r="D70" s="40"/>
      <c r="E70" s="41"/>
      <c r="F70" s="40"/>
      <c r="G70" s="41"/>
      <c r="H70" s="40"/>
      <c r="I70" s="41"/>
      <c r="J70" s="40"/>
    </row>
    <row r="71" spans="1:10" ht="15.75" customHeight="1" x14ac:dyDescent="0.15">
      <c r="A71" s="39">
        <v>8</v>
      </c>
      <c r="B71" s="40" t="s">
        <v>148</v>
      </c>
      <c r="C71" s="41"/>
      <c r="D71" s="40"/>
      <c r="E71" s="41"/>
      <c r="F71" s="40"/>
      <c r="G71" s="41"/>
      <c r="H71" s="40"/>
      <c r="I71" s="41"/>
      <c r="J71" s="40"/>
    </row>
    <row r="72" spans="1:10" ht="15.75" customHeight="1" x14ac:dyDescent="0.15">
      <c r="A72" s="39">
        <v>9</v>
      </c>
      <c r="B72" s="40" t="s">
        <v>71</v>
      </c>
      <c r="C72" s="41"/>
      <c r="D72" s="40"/>
      <c r="E72" s="41"/>
      <c r="F72" s="40"/>
      <c r="G72" s="41"/>
      <c r="H72" s="40"/>
      <c r="I72" s="41"/>
      <c r="J72" s="40"/>
    </row>
    <row r="73" spans="1:10" ht="15.75" customHeight="1" x14ac:dyDescent="0.15">
      <c r="A73" s="39">
        <v>10</v>
      </c>
      <c r="B73" s="40" t="s">
        <v>157</v>
      </c>
      <c r="C73" s="41"/>
      <c r="D73" s="40"/>
      <c r="E73" s="41"/>
      <c r="F73" s="40"/>
      <c r="G73" s="41"/>
      <c r="H73" s="40"/>
      <c r="I73" s="41"/>
      <c r="J73" s="40"/>
    </row>
    <row r="74" spans="1:10" ht="15.75" customHeight="1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15.75" customHeight="1" x14ac:dyDescent="0.15"/>
    <row r="76" spans="1:10" ht="15.75" customHeight="1" x14ac:dyDescent="0.15"/>
    <row r="77" spans="1:10" ht="15.75" customHeight="1" x14ac:dyDescent="0.15"/>
    <row r="78" spans="1:10" ht="15.75" customHeight="1" x14ac:dyDescent="0.15"/>
    <row r="79" spans="1:10" ht="15.75" customHeight="1" x14ac:dyDescent="0.15"/>
    <row r="80" spans="1:1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1">
    <mergeCell ref="A62:J62"/>
    <mergeCell ref="A1:B1"/>
    <mergeCell ref="C1:D1"/>
    <mergeCell ref="E1:F1"/>
    <mergeCell ref="G1:H1"/>
    <mergeCell ref="I1:J1"/>
    <mergeCell ref="A2:J2"/>
    <mergeCell ref="A14:J14"/>
    <mergeCell ref="A26:J26"/>
    <mergeCell ref="A38:J38"/>
    <mergeCell ref="A50:J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tabSelected="1" workbookViewId="0">
      <selection activeCell="L20" sqref="L20"/>
    </sheetView>
  </sheetViews>
  <sheetFormatPr baseColWidth="10" defaultColWidth="12.6640625" defaultRowHeight="15" customHeight="1" x14ac:dyDescent="0.15"/>
  <cols>
    <col min="1" max="1" width="8.6640625" customWidth="1"/>
    <col min="2" max="2" width="13.1640625" customWidth="1"/>
    <col min="3" max="3" width="14.5" customWidth="1"/>
    <col min="4" max="4" width="15.1640625" customWidth="1"/>
    <col min="5" max="5" width="14.1640625" customWidth="1"/>
    <col min="6" max="7" width="16.5" customWidth="1"/>
    <col min="8" max="8" width="25.5" customWidth="1"/>
    <col min="9" max="9" width="15.1640625" customWidth="1"/>
  </cols>
  <sheetData>
    <row r="1" spans="1:11" ht="15.75" customHeight="1" x14ac:dyDescent="0.15">
      <c r="A1" s="82" t="s">
        <v>158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5.75" customHeight="1" x14ac:dyDescent="0.15">
      <c r="A2" s="3" t="s">
        <v>159</v>
      </c>
      <c r="B2" s="3" t="s">
        <v>160</v>
      </c>
      <c r="C2" s="3" t="s">
        <v>161</v>
      </c>
      <c r="D2" s="2" t="s">
        <v>162</v>
      </c>
      <c r="E2" s="2" t="s">
        <v>163</v>
      </c>
      <c r="F2" s="2" t="s">
        <v>164</v>
      </c>
      <c r="G2" s="2" t="s">
        <v>165</v>
      </c>
      <c r="H2" s="2" t="s">
        <v>166</v>
      </c>
      <c r="I2" s="3" t="s">
        <v>167</v>
      </c>
      <c r="J2" s="2" t="s">
        <v>168</v>
      </c>
      <c r="K2" s="2" t="s">
        <v>169</v>
      </c>
    </row>
    <row r="3" spans="1:11" ht="15.75" customHeight="1" x14ac:dyDescent="0.15">
      <c r="A3" s="4">
        <v>1</v>
      </c>
      <c r="B3" s="5">
        <v>243</v>
      </c>
      <c r="C3" s="5">
        <v>42</v>
      </c>
      <c r="D3" s="5">
        <v>13.5</v>
      </c>
      <c r="E3" s="5">
        <f t="shared" ref="E3:E14" si="0">C3-D3</f>
        <v>28.5</v>
      </c>
      <c r="F3" s="5" t="s">
        <v>170</v>
      </c>
      <c r="G3" s="5">
        <v>1.7</v>
      </c>
      <c r="H3" s="5">
        <v>210</v>
      </c>
      <c r="I3" s="5">
        <v>208</v>
      </c>
      <c r="J3" s="5">
        <f t="shared" ref="J3:J14" si="1">B3-H3</f>
        <v>33</v>
      </c>
      <c r="K3" s="5">
        <v>30</v>
      </c>
    </row>
    <row r="4" spans="1:11" ht="15.75" customHeight="1" x14ac:dyDescent="0.15">
      <c r="A4" s="4">
        <v>2</v>
      </c>
      <c r="B4" s="5">
        <v>241</v>
      </c>
      <c r="C4" s="5">
        <v>54</v>
      </c>
      <c r="D4" s="43">
        <v>10.5</v>
      </c>
      <c r="E4" s="5">
        <f t="shared" si="0"/>
        <v>43.5</v>
      </c>
      <c r="F4" s="5" t="s">
        <v>171</v>
      </c>
      <c r="G4" s="5">
        <v>2</v>
      </c>
      <c r="H4" s="5">
        <v>200</v>
      </c>
      <c r="I4" s="5">
        <v>189</v>
      </c>
      <c r="J4" s="5">
        <f t="shared" si="1"/>
        <v>41</v>
      </c>
      <c r="K4" s="5">
        <v>34</v>
      </c>
    </row>
    <row r="5" spans="1:11" ht="15.75" customHeight="1" x14ac:dyDescent="0.15">
      <c r="A5" s="4">
        <v>3</v>
      </c>
      <c r="B5" s="5">
        <v>251</v>
      </c>
      <c r="C5" s="5">
        <v>62</v>
      </c>
      <c r="D5" s="5">
        <v>13.5</v>
      </c>
      <c r="E5" s="5">
        <f t="shared" si="0"/>
        <v>48.5</v>
      </c>
      <c r="F5" s="43" t="s">
        <v>172</v>
      </c>
      <c r="G5" s="43">
        <v>2</v>
      </c>
      <c r="H5" s="43">
        <v>212</v>
      </c>
      <c r="I5" s="5">
        <v>208</v>
      </c>
      <c r="J5" s="5">
        <f t="shared" si="1"/>
        <v>39</v>
      </c>
      <c r="K5" s="5">
        <v>34</v>
      </c>
    </row>
    <row r="6" spans="1:11" ht="15.75" customHeight="1" x14ac:dyDescent="0.15">
      <c r="A6" s="4">
        <v>4</v>
      </c>
      <c r="B6" s="5">
        <v>200</v>
      </c>
      <c r="C6" s="5">
        <v>55</v>
      </c>
      <c r="D6" s="5">
        <v>13.5</v>
      </c>
      <c r="E6" s="5">
        <f t="shared" si="0"/>
        <v>41.5</v>
      </c>
      <c r="F6" s="5" t="s">
        <v>173</v>
      </c>
      <c r="G6" s="5">
        <v>2</v>
      </c>
      <c r="H6" s="5">
        <v>185</v>
      </c>
      <c r="I6" s="5">
        <v>183</v>
      </c>
      <c r="J6" s="5">
        <f t="shared" si="1"/>
        <v>15</v>
      </c>
      <c r="K6" s="5">
        <v>26</v>
      </c>
    </row>
    <row r="7" spans="1:11" ht="15.75" customHeight="1" x14ac:dyDescent="0.15">
      <c r="A7" s="4">
        <v>5</v>
      </c>
      <c r="B7" s="5">
        <v>200</v>
      </c>
      <c r="C7" s="5">
        <v>66</v>
      </c>
      <c r="D7" s="5">
        <v>14</v>
      </c>
      <c r="E7" s="5">
        <f t="shared" si="0"/>
        <v>52</v>
      </c>
      <c r="F7" s="5" t="s">
        <v>174</v>
      </c>
      <c r="G7" s="43">
        <v>2</v>
      </c>
      <c r="H7" s="43">
        <v>178</v>
      </c>
      <c r="I7" s="5">
        <v>174</v>
      </c>
      <c r="J7" s="5">
        <f t="shared" si="1"/>
        <v>22</v>
      </c>
      <c r="K7" s="5">
        <v>25</v>
      </c>
    </row>
    <row r="8" spans="1:11" ht="15.75" customHeight="1" x14ac:dyDescent="0.15">
      <c r="A8" s="4">
        <v>6</v>
      </c>
      <c r="B8" s="5">
        <v>209</v>
      </c>
      <c r="C8" s="5">
        <v>60</v>
      </c>
      <c r="D8" s="5">
        <v>13</v>
      </c>
      <c r="E8" s="5">
        <f t="shared" si="0"/>
        <v>47</v>
      </c>
      <c r="F8" s="5" t="s">
        <v>175</v>
      </c>
      <c r="G8" s="5">
        <v>1.5</v>
      </c>
      <c r="H8" s="5">
        <v>176</v>
      </c>
      <c r="I8" s="5">
        <v>171</v>
      </c>
      <c r="J8" s="5">
        <f t="shared" si="1"/>
        <v>33</v>
      </c>
      <c r="K8" s="5">
        <v>27</v>
      </c>
    </row>
    <row r="9" spans="1:11" ht="15.75" customHeight="1" x14ac:dyDescent="0.15">
      <c r="A9" s="4">
        <v>7</v>
      </c>
      <c r="B9" s="5">
        <v>252</v>
      </c>
      <c r="C9" s="5">
        <v>67</v>
      </c>
      <c r="D9" s="5">
        <v>16</v>
      </c>
      <c r="E9" s="5">
        <f t="shared" si="0"/>
        <v>51</v>
      </c>
      <c r="F9" s="5" t="s">
        <v>176</v>
      </c>
      <c r="G9" s="5">
        <v>2</v>
      </c>
      <c r="H9" s="5">
        <v>211</v>
      </c>
      <c r="I9" s="5">
        <v>205</v>
      </c>
      <c r="J9" s="5">
        <f t="shared" si="1"/>
        <v>41</v>
      </c>
      <c r="K9" s="5">
        <v>25</v>
      </c>
    </row>
    <row r="10" spans="1:11" ht="15.75" customHeight="1" x14ac:dyDescent="0.15">
      <c r="A10" s="4">
        <v>8</v>
      </c>
      <c r="B10" s="5">
        <v>229</v>
      </c>
      <c r="C10" s="5">
        <v>67</v>
      </c>
      <c r="D10" s="5">
        <v>13.5</v>
      </c>
      <c r="E10" s="5">
        <f t="shared" si="0"/>
        <v>53.5</v>
      </c>
      <c r="F10" s="5" t="s">
        <v>176</v>
      </c>
      <c r="G10" s="5">
        <v>2</v>
      </c>
      <c r="H10" s="5">
        <v>193</v>
      </c>
      <c r="I10" s="5">
        <v>188</v>
      </c>
      <c r="J10" s="5">
        <f t="shared" si="1"/>
        <v>36</v>
      </c>
      <c r="K10" s="5">
        <v>23</v>
      </c>
    </row>
    <row r="11" spans="1:11" ht="15.75" customHeight="1" x14ac:dyDescent="0.15">
      <c r="A11" s="4">
        <v>9</v>
      </c>
      <c r="B11" s="5">
        <v>232</v>
      </c>
      <c r="C11" s="5">
        <v>58</v>
      </c>
      <c r="D11" s="5">
        <v>13.5</v>
      </c>
      <c r="E11" s="5">
        <f t="shared" si="0"/>
        <v>44.5</v>
      </c>
      <c r="F11" s="5" t="s">
        <v>177</v>
      </c>
      <c r="G11" s="5">
        <v>1.5</v>
      </c>
      <c r="H11" s="5">
        <v>195</v>
      </c>
      <c r="I11" s="5">
        <v>190</v>
      </c>
      <c r="J11" s="5">
        <f t="shared" si="1"/>
        <v>37</v>
      </c>
      <c r="K11" s="5">
        <v>24</v>
      </c>
    </row>
    <row r="12" spans="1:11" ht="15.75" customHeight="1" x14ac:dyDescent="0.15">
      <c r="A12" s="4">
        <v>10</v>
      </c>
      <c r="B12" s="5">
        <v>195</v>
      </c>
      <c r="C12" s="5">
        <v>48</v>
      </c>
      <c r="D12" s="5">
        <v>12</v>
      </c>
      <c r="E12" s="5">
        <f t="shared" si="0"/>
        <v>36</v>
      </c>
      <c r="F12" s="5" t="s">
        <v>178</v>
      </c>
      <c r="G12" s="5">
        <v>1.5</v>
      </c>
      <c r="H12" s="5">
        <v>172</v>
      </c>
      <c r="I12" s="5">
        <v>165</v>
      </c>
      <c r="J12" s="5">
        <f t="shared" si="1"/>
        <v>23</v>
      </c>
      <c r="K12" s="5">
        <v>30</v>
      </c>
    </row>
    <row r="13" spans="1:11" ht="15.75" customHeight="1" x14ac:dyDescent="0.15">
      <c r="A13" s="4">
        <v>11</v>
      </c>
      <c r="B13" s="5">
        <v>246</v>
      </c>
      <c r="C13" s="5">
        <v>53</v>
      </c>
      <c r="D13" s="5">
        <v>14</v>
      </c>
      <c r="E13" s="5">
        <f t="shared" si="0"/>
        <v>39</v>
      </c>
      <c r="F13" s="5" t="s">
        <v>173</v>
      </c>
      <c r="G13" s="5">
        <v>2</v>
      </c>
      <c r="H13" s="5">
        <v>232</v>
      </c>
      <c r="I13" s="5">
        <v>228</v>
      </c>
      <c r="J13" s="5">
        <f t="shared" si="1"/>
        <v>14</v>
      </c>
      <c r="K13" s="5">
        <v>25</v>
      </c>
    </row>
    <row r="14" spans="1:11" ht="15.75" customHeight="1" x14ac:dyDescent="0.15">
      <c r="A14" s="44">
        <v>12</v>
      </c>
      <c r="B14" s="11">
        <v>203</v>
      </c>
      <c r="C14" s="11">
        <v>47</v>
      </c>
      <c r="D14" s="11">
        <v>12</v>
      </c>
      <c r="E14" s="5">
        <f t="shared" si="0"/>
        <v>35</v>
      </c>
      <c r="F14" s="11" t="s">
        <v>179</v>
      </c>
      <c r="G14" s="11">
        <v>1.4</v>
      </c>
      <c r="H14" s="11">
        <v>185</v>
      </c>
      <c r="I14" s="11">
        <v>169</v>
      </c>
      <c r="J14" s="5">
        <f t="shared" si="1"/>
        <v>18</v>
      </c>
      <c r="K14" s="11">
        <v>30</v>
      </c>
    </row>
    <row r="15" spans="1:11" ht="15.75" customHeight="1" x14ac:dyDescent="0.15">
      <c r="A15" s="45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ht="15.75" customHeight="1" x14ac:dyDescent="0.15">
      <c r="A16" s="45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ht="15.75" customHeight="1" x14ac:dyDescent="0.15">
      <c r="A17" s="82" t="s">
        <v>180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</row>
    <row r="18" spans="1:11" ht="15.75" customHeight="1" x14ac:dyDescent="0.15">
      <c r="A18" s="3" t="s">
        <v>159</v>
      </c>
      <c r="B18" s="3" t="s">
        <v>160</v>
      </c>
      <c r="C18" s="3" t="s">
        <v>161</v>
      </c>
      <c r="D18" s="2" t="s">
        <v>162</v>
      </c>
      <c r="E18" s="2" t="s">
        <v>163</v>
      </c>
      <c r="F18" s="2" t="s">
        <v>164</v>
      </c>
      <c r="G18" s="2" t="s">
        <v>165</v>
      </c>
      <c r="H18" s="2" t="s">
        <v>166</v>
      </c>
      <c r="I18" s="3" t="s">
        <v>167</v>
      </c>
      <c r="J18" s="2" t="s">
        <v>168</v>
      </c>
      <c r="K18" s="2" t="s">
        <v>169</v>
      </c>
    </row>
    <row r="19" spans="1:11" ht="15.75" customHeight="1" x14ac:dyDescent="0.15">
      <c r="A19" s="4">
        <v>1</v>
      </c>
      <c r="B19" s="5">
        <v>279</v>
      </c>
      <c r="C19" s="5">
        <v>55</v>
      </c>
      <c r="D19" s="5">
        <v>14</v>
      </c>
      <c r="E19" s="5">
        <f t="shared" ref="E19:E30" si="2">C19-D19</f>
        <v>41</v>
      </c>
      <c r="F19" s="5" t="s">
        <v>171</v>
      </c>
      <c r="G19" s="5">
        <v>2</v>
      </c>
      <c r="H19" s="5">
        <v>246</v>
      </c>
      <c r="I19" s="5">
        <v>238</v>
      </c>
      <c r="J19" s="5">
        <f t="shared" ref="J19:J30" si="3">B19-H19</f>
        <v>33</v>
      </c>
      <c r="K19" s="5">
        <v>27</v>
      </c>
    </row>
    <row r="20" spans="1:11" ht="15.75" customHeight="1" x14ac:dyDescent="0.15">
      <c r="A20" s="4">
        <v>2</v>
      </c>
      <c r="B20" s="5">
        <v>219</v>
      </c>
      <c r="C20" s="5">
        <v>55</v>
      </c>
      <c r="D20" s="43">
        <v>10</v>
      </c>
      <c r="E20" s="5">
        <f t="shared" si="2"/>
        <v>45</v>
      </c>
      <c r="F20" s="5" t="s">
        <v>177</v>
      </c>
      <c r="G20" s="5">
        <v>2</v>
      </c>
      <c r="H20" s="5">
        <v>182</v>
      </c>
      <c r="I20" s="5">
        <v>180</v>
      </c>
      <c r="J20" s="5">
        <f t="shared" si="3"/>
        <v>37</v>
      </c>
      <c r="K20" s="5">
        <v>22</v>
      </c>
    </row>
    <row r="21" spans="1:11" ht="15.75" customHeight="1" x14ac:dyDescent="0.15">
      <c r="A21" s="4">
        <v>3</v>
      </c>
      <c r="B21" s="5">
        <v>244</v>
      </c>
      <c r="C21" s="5">
        <v>56</v>
      </c>
      <c r="D21" s="5">
        <v>14</v>
      </c>
      <c r="E21" s="5">
        <f t="shared" si="2"/>
        <v>42</v>
      </c>
      <c r="F21" s="43" t="s">
        <v>171</v>
      </c>
      <c r="G21" s="43">
        <v>2</v>
      </c>
      <c r="H21" s="43">
        <v>203</v>
      </c>
      <c r="I21" s="5">
        <v>192</v>
      </c>
      <c r="J21" s="5">
        <f t="shared" si="3"/>
        <v>41</v>
      </c>
      <c r="K21" s="5">
        <v>24</v>
      </c>
    </row>
    <row r="22" spans="1:11" ht="15.75" customHeight="1" x14ac:dyDescent="0.15">
      <c r="A22" s="4">
        <v>4</v>
      </c>
      <c r="B22" s="5">
        <v>304</v>
      </c>
      <c r="C22" s="5">
        <v>57</v>
      </c>
      <c r="D22" s="5">
        <v>13</v>
      </c>
      <c r="E22" s="5">
        <f t="shared" si="2"/>
        <v>44</v>
      </c>
      <c r="F22" s="5" t="s">
        <v>181</v>
      </c>
      <c r="G22" s="5">
        <v>1.5</v>
      </c>
      <c r="H22" s="5">
        <v>175</v>
      </c>
      <c r="I22" s="5">
        <v>172</v>
      </c>
      <c r="J22" s="5">
        <f t="shared" si="3"/>
        <v>129</v>
      </c>
      <c r="K22" s="5">
        <v>22</v>
      </c>
    </row>
    <row r="23" spans="1:11" ht="15.75" customHeight="1" x14ac:dyDescent="0.15">
      <c r="A23" s="4">
        <v>5</v>
      </c>
      <c r="B23" s="5">
        <v>236</v>
      </c>
      <c r="C23" s="5">
        <v>57</v>
      </c>
      <c r="D23" s="5">
        <v>12</v>
      </c>
      <c r="E23" s="5">
        <f t="shared" si="2"/>
        <v>45</v>
      </c>
      <c r="F23" s="5" t="s">
        <v>182</v>
      </c>
      <c r="G23" s="43">
        <v>2</v>
      </c>
      <c r="H23" s="43">
        <v>205</v>
      </c>
      <c r="I23" s="5">
        <v>200</v>
      </c>
      <c r="J23" s="5">
        <f t="shared" si="3"/>
        <v>31</v>
      </c>
      <c r="K23" s="5">
        <v>23</v>
      </c>
    </row>
    <row r="24" spans="1:11" ht="15.75" customHeight="1" x14ac:dyDescent="0.15">
      <c r="A24" s="4">
        <v>6</v>
      </c>
      <c r="B24" s="5">
        <v>236</v>
      </c>
      <c r="C24" s="5">
        <v>58</v>
      </c>
      <c r="D24" s="5">
        <v>12</v>
      </c>
      <c r="E24" s="5">
        <f t="shared" si="2"/>
        <v>46</v>
      </c>
      <c r="F24" s="5" t="s">
        <v>183</v>
      </c>
      <c r="G24" s="5">
        <v>2</v>
      </c>
      <c r="H24" s="5">
        <v>211</v>
      </c>
      <c r="I24" s="5">
        <v>205</v>
      </c>
      <c r="J24" s="5">
        <f t="shared" si="3"/>
        <v>25</v>
      </c>
      <c r="K24" s="5">
        <v>24</v>
      </c>
    </row>
    <row r="25" spans="1:11" ht="15.75" customHeight="1" x14ac:dyDescent="0.15">
      <c r="A25" s="4">
        <v>7</v>
      </c>
      <c r="B25" s="5">
        <v>150</v>
      </c>
      <c r="C25" s="5">
        <v>54</v>
      </c>
      <c r="D25" s="5">
        <v>11</v>
      </c>
      <c r="E25" s="5">
        <f t="shared" si="2"/>
        <v>43</v>
      </c>
      <c r="F25" s="5" t="s">
        <v>179</v>
      </c>
      <c r="G25" s="5">
        <v>1.4</v>
      </c>
      <c r="H25" s="5">
        <v>111</v>
      </c>
      <c r="I25" s="5">
        <v>107</v>
      </c>
      <c r="J25" s="5">
        <f t="shared" si="3"/>
        <v>39</v>
      </c>
      <c r="K25" s="5">
        <v>26</v>
      </c>
    </row>
    <row r="26" spans="1:11" ht="15.75" customHeight="1" x14ac:dyDescent="0.15">
      <c r="A26" s="4">
        <v>8</v>
      </c>
      <c r="B26" s="5">
        <v>192</v>
      </c>
      <c r="C26" s="5">
        <v>54</v>
      </c>
      <c r="D26" s="5">
        <v>12</v>
      </c>
      <c r="E26" s="5">
        <f t="shared" si="2"/>
        <v>42</v>
      </c>
      <c r="F26" s="5" t="s">
        <v>173</v>
      </c>
      <c r="G26" s="5">
        <v>1.5</v>
      </c>
      <c r="H26" s="5">
        <v>179</v>
      </c>
      <c r="I26" s="5">
        <v>171</v>
      </c>
      <c r="J26" s="5">
        <f t="shared" si="3"/>
        <v>13</v>
      </c>
      <c r="K26" s="5">
        <v>22</v>
      </c>
    </row>
    <row r="27" spans="1:11" ht="15.75" customHeight="1" x14ac:dyDescent="0.15">
      <c r="A27" s="4">
        <v>9</v>
      </c>
      <c r="B27" s="5">
        <v>230</v>
      </c>
      <c r="C27" s="5">
        <v>61</v>
      </c>
      <c r="D27" s="5">
        <v>12.5</v>
      </c>
      <c r="E27" s="5">
        <f t="shared" si="2"/>
        <v>48.5</v>
      </c>
      <c r="F27" s="5" t="s">
        <v>184</v>
      </c>
      <c r="G27" s="5">
        <v>2</v>
      </c>
      <c r="H27" s="5">
        <v>220</v>
      </c>
      <c r="I27" s="5">
        <v>216</v>
      </c>
      <c r="J27" s="5">
        <f t="shared" si="3"/>
        <v>10</v>
      </c>
      <c r="K27" s="5">
        <v>25</v>
      </c>
    </row>
    <row r="28" spans="1:11" ht="15.75" customHeight="1" x14ac:dyDescent="0.15">
      <c r="A28" s="4">
        <v>10</v>
      </c>
      <c r="B28" s="5">
        <v>269</v>
      </c>
      <c r="C28" s="5">
        <v>63</v>
      </c>
      <c r="D28" s="5">
        <v>13</v>
      </c>
      <c r="E28" s="5">
        <f t="shared" si="2"/>
        <v>50</v>
      </c>
      <c r="F28" s="5" t="s">
        <v>171</v>
      </c>
      <c r="G28" s="5">
        <v>2</v>
      </c>
      <c r="H28" s="5">
        <v>260</v>
      </c>
      <c r="I28" s="5">
        <v>255</v>
      </c>
      <c r="J28" s="5">
        <f t="shared" si="3"/>
        <v>9</v>
      </c>
      <c r="K28" s="5">
        <v>25</v>
      </c>
    </row>
    <row r="29" spans="1:11" ht="15.75" customHeight="1" x14ac:dyDescent="0.15">
      <c r="A29" s="4">
        <v>11</v>
      </c>
      <c r="B29" s="5">
        <v>281</v>
      </c>
      <c r="C29" s="5">
        <v>67</v>
      </c>
      <c r="D29" s="5">
        <v>15</v>
      </c>
      <c r="E29" s="5">
        <f t="shared" si="2"/>
        <v>52</v>
      </c>
      <c r="F29" s="5" t="s">
        <v>183</v>
      </c>
      <c r="G29" s="5">
        <v>2</v>
      </c>
      <c r="H29" s="5">
        <v>155</v>
      </c>
      <c r="I29" s="5">
        <v>142</v>
      </c>
      <c r="J29" s="5">
        <f t="shared" si="3"/>
        <v>126</v>
      </c>
      <c r="K29" s="5">
        <v>24</v>
      </c>
    </row>
    <row r="30" spans="1:11" ht="15.75" customHeight="1" x14ac:dyDescent="0.15">
      <c r="A30" s="46">
        <v>12</v>
      </c>
      <c r="B30" s="47">
        <v>229</v>
      </c>
      <c r="C30" s="47">
        <v>50</v>
      </c>
      <c r="D30" s="47">
        <v>13</v>
      </c>
      <c r="E30" s="5">
        <f t="shared" si="2"/>
        <v>37</v>
      </c>
      <c r="F30" s="47" t="s">
        <v>185</v>
      </c>
      <c r="G30" s="47">
        <v>2</v>
      </c>
      <c r="H30" s="47">
        <v>215</v>
      </c>
      <c r="I30" s="47">
        <v>210</v>
      </c>
      <c r="J30" s="5">
        <f t="shared" si="3"/>
        <v>14</v>
      </c>
      <c r="K30" s="47">
        <v>23</v>
      </c>
    </row>
    <row r="31" spans="1:11" ht="15.75" customHeight="1" x14ac:dyDescent="0.15">
      <c r="A31" s="45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ht="15.75" customHeight="1" x14ac:dyDescent="0.15">
      <c r="A32" s="45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ht="15.75" customHeight="1" x14ac:dyDescent="0.15">
      <c r="A33" s="82" t="s">
        <v>186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</row>
    <row r="34" spans="1:11" ht="15.75" customHeight="1" x14ac:dyDescent="0.15">
      <c r="A34" s="3" t="s">
        <v>159</v>
      </c>
      <c r="B34" s="3" t="s">
        <v>160</v>
      </c>
      <c r="C34" s="3" t="s">
        <v>161</v>
      </c>
      <c r="D34" s="2" t="s">
        <v>162</v>
      </c>
      <c r="E34" s="2" t="s">
        <v>163</v>
      </c>
      <c r="F34" s="2" t="s">
        <v>164</v>
      </c>
      <c r="G34" s="2" t="s">
        <v>165</v>
      </c>
      <c r="H34" s="2" t="s">
        <v>166</v>
      </c>
      <c r="I34" s="3" t="s">
        <v>167</v>
      </c>
      <c r="J34" s="2" t="s">
        <v>168</v>
      </c>
      <c r="K34" s="2" t="s">
        <v>169</v>
      </c>
    </row>
    <row r="35" spans="1:11" ht="15.75" customHeight="1" x14ac:dyDescent="0.15">
      <c r="A35" s="4">
        <v>1</v>
      </c>
      <c r="B35" s="5">
        <v>187</v>
      </c>
      <c r="C35" s="5">
        <v>55</v>
      </c>
      <c r="D35" s="5">
        <v>13.5</v>
      </c>
      <c r="E35" s="5">
        <f t="shared" ref="E35:E46" si="4">C35-D35</f>
        <v>41.5</v>
      </c>
      <c r="F35" s="5" t="s">
        <v>187</v>
      </c>
      <c r="G35" s="5">
        <v>2</v>
      </c>
      <c r="H35" s="5">
        <v>156</v>
      </c>
      <c r="I35" s="5">
        <v>152</v>
      </c>
      <c r="J35" s="5">
        <f t="shared" ref="J35:J46" si="5">B35-H35</f>
        <v>31</v>
      </c>
      <c r="K35" s="5">
        <v>23</v>
      </c>
    </row>
    <row r="36" spans="1:11" ht="15.75" customHeight="1" x14ac:dyDescent="0.15">
      <c r="A36" s="4">
        <v>2</v>
      </c>
      <c r="B36" s="5">
        <v>265</v>
      </c>
      <c r="C36" s="5">
        <v>63</v>
      </c>
      <c r="D36" s="43">
        <v>13</v>
      </c>
      <c r="E36" s="5">
        <f t="shared" si="4"/>
        <v>50</v>
      </c>
      <c r="F36" s="5" t="s">
        <v>188</v>
      </c>
      <c r="G36" s="5">
        <v>2</v>
      </c>
      <c r="H36" s="5">
        <v>234</v>
      </c>
      <c r="I36" s="5">
        <v>225</v>
      </c>
      <c r="J36" s="5">
        <f t="shared" si="5"/>
        <v>31</v>
      </c>
      <c r="K36" s="5">
        <v>24</v>
      </c>
    </row>
    <row r="37" spans="1:11" ht="15.75" customHeight="1" x14ac:dyDescent="0.15">
      <c r="A37" s="4">
        <v>3</v>
      </c>
      <c r="B37" s="5">
        <v>262</v>
      </c>
      <c r="C37" s="5">
        <v>60</v>
      </c>
      <c r="D37" s="5">
        <v>16</v>
      </c>
      <c r="E37" s="5">
        <f t="shared" si="4"/>
        <v>44</v>
      </c>
      <c r="F37" s="43" t="s">
        <v>189</v>
      </c>
      <c r="G37" s="43">
        <v>2</v>
      </c>
      <c r="H37" s="43">
        <v>234</v>
      </c>
      <c r="I37" s="5">
        <v>224</v>
      </c>
      <c r="J37" s="5">
        <f t="shared" si="5"/>
        <v>28</v>
      </c>
      <c r="K37" s="5">
        <v>21</v>
      </c>
    </row>
    <row r="38" spans="1:11" ht="15.75" customHeight="1" x14ac:dyDescent="0.15">
      <c r="A38" s="4">
        <v>4</v>
      </c>
      <c r="B38" s="5">
        <v>244</v>
      </c>
      <c r="C38" s="5">
        <v>63</v>
      </c>
      <c r="D38" s="5">
        <v>12</v>
      </c>
      <c r="E38" s="5">
        <f t="shared" si="4"/>
        <v>51</v>
      </c>
      <c r="F38" s="5" t="s">
        <v>190</v>
      </c>
      <c r="G38" s="5">
        <v>2</v>
      </c>
      <c r="H38" s="5">
        <v>210</v>
      </c>
      <c r="I38" s="5">
        <v>200</v>
      </c>
      <c r="J38" s="5">
        <f t="shared" si="5"/>
        <v>34</v>
      </c>
      <c r="K38" s="5">
        <v>22</v>
      </c>
    </row>
    <row r="39" spans="1:11" ht="15.75" customHeight="1" x14ac:dyDescent="0.15">
      <c r="A39" s="4">
        <v>5</v>
      </c>
      <c r="B39" s="5">
        <v>280</v>
      </c>
      <c r="C39" s="5">
        <v>58</v>
      </c>
      <c r="D39" s="5">
        <v>13</v>
      </c>
      <c r="E39" s="5">
        <f t="shared" si="4"/>
        <v>45</v>
      </c>
      <c r="F39" s="5" t="s">
        <v>191</v>
      </c>
      <c r="G39" s="43">
        <v>2</v>
      </c>
      <c r="H39" s="43">
        <v>262</v>
      </c>
      <c r="I39" s="5">
        <v>257</v>
      </c>
      <c r="J39" s="5">
        <f t="shared" si="5"/>
        <v>18</v>
      </c>
      <c r="K39" s="5">
        <v>22</v>
      </c>
    </row>
    <row r="40" spans="1:11" ht="15.75" customHeight="1" x14ac:dyDescent="0.15">
      <c r="A40" s="4">
        <v>6</v>
      </c>
      <c r="B40" s="5">
        <v>228</v>
      </c>
      <c r="C40" s="5">
        <v>54</v>
      </c>
      <c r="D40" s="5">
        <v>11.5</v>
      </c>
      <c r="E40" s="5">
        <f t="shared" si="4"/>
        <v>42.5</v>
      </c>
      <c r="F40" s="5" t="s">
        <v>185</v>
      </c>
      <c r="G40" s="5">
        <v>1.8</v>
      </c>
      <c r="H40" s="5">
        <v>190</v>
      </c>
      <c r="I40" s="5">
        <v>184</v>
      </c>
      <c r="J40" s="5">
        <f t="shared" si="5"/>
        <v>38</v>
      </c>
      <c r="K40" s="5">
        <v>21</v>
      </c>
    </row>
    <row r="41" spans="1:11" ht="15.75" customHeight="1" x14ac:dyDescent="0.15">
      <c r="A41" s="4">
        <v>7</v>
      </c>
      <c r="B41" s="5">
        <v>305</v>
      </c>
      <c r="C41" s="5">
        <v>68</v>
      </c>
      <c r="D41" s="5">
        <v>19</v>
      </c>
      <c r="E41" s="5">
        <f t="shared" si="4"/>
        <v>49</v>
      </c>
      <c r="F41" s="5" t="s">
        <v>192</v>
      </c>
      <c r="G41" s="5">
        <v>2</v>
      </c>
      <c r="H41" s="5">
        <v>265</v>
      </c>
      <c r="I41" s="5">
        <v>260</v>
      </c>
      <c r="J41" s="5">
        <f t="shared" si="5"/>
        <v>40</v>
      </c>
      <c r="K41" s="5">
        <v>23</v>
      </c>
    </row>
    <row r="42" spans="1:11" ht="15.75" customHeight="1" x14ac:dyDescent="0.15">
      <c r="A42" s="4">
        <v>8</v>
      </c>
      <c r="B42" s="5">
        <v>209</v>
      </c>
      <c r="C42" s="5">
        <v>61</v>
      </c>
      <c r="D42" s="5">
        <v>13.5</v>
      </c>
      <c r="E42" s="5">
        <f t="shared" si="4"/>
        <v>47.5</v>
      </c>
      <c r="F42" s="5" t="s">
        <v>181</v>
      </c>
      <c r="G42" s="5">
        <v>2</v>
      </c>
      <c r="H42" s="5">
        <v>176</v>
      </c>
      <c r="I42" s="5">
        <v>173</v>
      </c>
      <c r="J42" s="5">
        <f t="shared" si="5"/>
        <v>33</v>
      </c>
      <c r="K42" s="5">
        <v>21</v>
      </c>
    </row>
    <row r="43" spans="1:11" ht="15.75" customHeight="1" x14ac:dyDescent="0.15">
      <c r="A43" s="4">
        <v>9</v>
      </c>
      <c r="B43" s="5">
        <v>241</v>
      </c>
      <c r="C43" s="5">
        <v>54</v>
      </c>
      <c r="D43" s="5">
        <v>13</v>
      </c>
      <c r="E43" s="5">
        <f t="shared" si="4"/>
        <v>41</v>
      </c>
      <c r="F43" s="5" t="s">
        <v>188</v>
      </c>
      <c r="G43" s="5">
        <v>2</v>
      </c>
      <c r="H43" s="5">
        <v>208</v>
      </c>
      <c r="I43" s="5">
        <v>200</v>
      </c>
      <c r="J43" s="5">
        <f t="shared" si="5"/>
        <v>33</v>
      </c>
      <c r="K43" s="5">
        <v>26</v>
      </c>
    </row>
    <row r="44" spans="1:11" ht="15.75" customHeight="1" x14ac:dyDescent="0.15">
      <c r="A44" s="4">
        <v>10</v>
      </c>
      <c r="B44" s="5">
        <v>207</v>
      </c>
      <c r="C44" s="5">
        <v>57</v>
      </c>
      <c r="D44" s="5">
        <v>11</v>
      </c>
      <c r="E44" s="5">
        <f t="shared" si="4"/>
        <v>46</v>
      </c>
      <c r="F44" s="5" t="s">
        <v>173</v>
      </c>
      <c r="G44" s="5">
        <v>2</v>
      </c>
      <c r="H44" s="5">
        <v>183</v>
      </c>
      <c r="I44" s="5">
        <v>173</v>
      </c>
      <c r="J44" s="5">
        <f t="shared" si="5"/>
        <v>24</v>
      </c>
      <c r="K44" s="5">
        <v>20</v>
      </c>
    </row>
    <row r="45" spans="1:11" ht="15.75" customHeight="1" x14ac:dyDescent="0.15">
      <c r="A45" s="4">
        <v>11</v>
      </c>
      <c r="B45" s="5">
        <v>232</v>
      </c>
      <c r="C45" s="5">
        <v>70</v>
      </c>
      <c r="D45" s="5">
        <v>12</v>
      </c>
      <c r="E45" s="5">
        <f t="shared" si="4"/>
        <v>58</v>
      </c>
      <c r="F45" s="5" t="s">
        <v>193</v>
      </c>
      <c r="G45" s="5">
        <v>2</v>
      </c>
      <c r="H45" s="5">
        <v>199</v>
      </c>
      <c r="I45" s="5">
        <v>190</v>
      </c>
      <c r="J45" s="5">
        <f t="shared" si="5"/>
        <v>33</v>
      </c>
      <c r="K45" s="47">
        <v>32</v>
      </c>
    </row>
    <row r="46" spans="1:11" ht="15.75" customHeight="1" x14ac:dyDescent="0.15">
      <c r="A46" s="46">
        <v>12</v>
      </c>
      <c r="B46" s="47">
        <v>174</v>
      </c>
      <c r="C46" s="47">
        <v>64</v>
      </c>
      <c r="D46" s="47">
        <v>12</v>
      </c>
      <c r="E46" s="5">
        <f t="shared" si="4"/>
        <v>52</v>
      </c>
      <c r="F46" s="47" t="s">
        <v>194</v>
      </c>
      <c r="G46" s="47">
        <v>1.5</v>
      </c>
      <c r="H46" s="47">
        <v>150</v>
      </c>
      <c r="I46" s="47">
        <v>140</v>
      </c>
      <c r="J46" s="5">
        <f t="shared" si="5"/>
        <v>24</v>
      </c>
      <c r="K46" s="14">
        <v>18</v>
      </c>
    </row>
    <row r="47" spans="1:11" ht="15.75" customHeight="1" x14ac:dyDescent="0.15"/>
    <row r="48" spans="1:11" ht="15.75" customHeight="1" x14ac:dyDescent="0.15"/>
    <row r="49" spans="1:11" ht="15.75" customHeight="1" x14ac:dyDescent="0.15">
      <c r="A49" s="82" t="s">
        <v>195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</row>
    <row r="50" spans="1:11" ht="15.75" customHeight="1" x14ac:dyDescent="0.15">
      <c r="A50" s="3" t="s">
        <v>159</v>
      </c>
      <c r="B50" s="3" t="s">
        <v>160</v>
      </c>
      <c r="C50" s="3" t="s">
        <v>161</v>
      </c>
      <c r="D50" s="2" t="s">
        <v>162</v>
      </c>
      <c r="E50" s="2" t="s">
        <v>163</v>
      </c>
      <c r="F50" s="2" t="s">
        <v>164</v>
      </c>
      <c r="G50" s="2" t="s">
        <v>165</v>
      </c>
      <c r="H50" s="2" t="s">
        <v>166</v>
      </c>
      <c r="I50" s="3" t="s">
        <v>167</v>
      </c>
      <c r="J50" s="2" t="s">
        <v>168</v>
      </c>
      <c r="K50" s="2" t="s">
        <v>169</v>
      </c>
    </row>
    <row r="51" spans="1:11" ht="15.75" customHeight="1" x14ac:dyDescent="0.15">
      <c r="A51" s="4">
        <v>1</v>
      </c>
      <c r="B51" s="5">
        <v>207</v>
      </c>
      <c r="C51" s="5">
        <v>71</v>
      </c>
      <c r="D51" s="5">
        <v>15</v>
      </c>
      <c r="E51" s="5">
        <f t="shared" ref="E51:E62" si="6">C51-D51</f>
        <v>56</v>
      </c>
      <c r="F51" s="5" t="s">
        <v>196</v>
      </c>
      <c r="G51" s="5">
        <v>2</v>
      </c>
      <c r="H51" s="5">
        <v>186</v>
      </c>
      <c r="I51" s="5">
        <v>177</v>
      </c>
      <c r="J51" s="5">
        <f t="shared" ref="J51:J62" si="7">B51-H51</f>
        <v>21</v>
      </c>
      <c r="K51" s="5">
        <v>22</v>
      </c>
    </row>
    <row r="52" spans="1:11" ht="15.75" customHeight="1" x14ac:dyDescent="0.15">
      <c r="A52" s="4">
        <v>2</v>
      </c>
      <c r="B52" s="5">
        <v>264</v>
      </c>
      <c r="C52" s="5">
        <v>59</v>
      </c>
      <c r="D52" s="43">
        <v>16</v>
      </c>
      <c r="E52" s="5">
        <f t="shared" si="6"/>
        <v>43</v>
      </c>
      <c r="F52" s="5" t="s">
        <v>171</v>
      </c>
      <c r="G52" s="5">
        <v>2</v>
      </c>
      <c r="H52" s="5">
        <v>165</v>
      </c>
      <c r="I52" s="5">
        <v>155</v>
      </c>
      <c r="J52" s="5">
        <f t="shared" si="7"/>
        <v>99</v>
      </c>
      <c r="K52" s="5">
        <v>21</v>
      </c>
    </row>
    <row r="53" spans="1:11" ht="15.75" customHeight="1" x14ac:dyDescent="0.15">
      <c r="A53" s="4">
        <v>3</v>
      </c>
      <c r="B53" s="5">
        <v>250</v>
      </c>
      <c r="C53" s="5">
        <v>63</v>
      </c>
      <c r="D53" s="5">
        <v>14</v>
      </c>
      <c r="E53" s="5">
        <f t="shared" si="6"/>
        <v>49</v>
      </c>
      <c r="F53" s="43" t="s">
        <v>197</v>
      </c>
      <c r="G53" s="43">
        <v>2</v>
      </c>
      <c r="H53" s="43">
        <v>235</v>
      </c>
      <c r="I53" s="5">
        <v>221</v>
      </c>
      <c r="J53" s="5">
        <f t="shared" si="7"/>
        <v>15</v>
      </c>
      <c r="K53" s="5">
        <v>22</v>
      </c>
    </row>
    <row r="54" spans="1:11" ht="15.75" customHeight="1" x14ac:dyDescent="0.15">
      <c r="A54" s="4">
        <v>4</v>
      </c>
      <c r="B54" s="5">
        <v>275</v>
      </c>
      <c r="C54" s="5">
        <v>56</v>
      </c>
      <c r="D54" s="5">
        <v>16</v>
      </c>
      <c r="E54" s="5">
        <f t="shared" si="6"/>
        <v>40</v>
      </c>
      <c r="F54" s="5" t="s">
        <v>193</v>
      </c>
      <c r="G54" s="5">
        <v>2</v>
      </c>
      <c r="H54" s="5">
        <v>203</v>
      </c>
      <c r="I54" s="5">
        <v>173</v>
      </c>
      <c r="J54" s="5">
        <f t="shared" si="7"/>
        <v>72</v>
      </c>
      <c r="K54" s="5">
        <v>23</v>
      </c>
    </row>
    <row r="55" spans="1:11" ht="15.75" customHeight="1" x14ac:dyDescent="0.15">
      <c r="A55" s="4">
        <v>5</v>
      </c>
      <c r="B55" s="5">
        <v>220</v>
      </c>
      <c r="C55" s="5">
        <v>64</v>
      </c>
      <c r="D55" s="5">
        <v>15.5</v>
      </c>
      <c r="E55" s="5">
        <f t="shared" si="6"/>
        <v>48.5</v>
      </c>
      <c r="F55" s="5" t="s">
        <v>197</v>
      </c>
      <c r="G55" s="43">
        <v>2</v>
      </c>
      <c r="H55" s="43">
        <v>171</v>
      </c>
      <c r="I55" s="5">
        <v>165</v>
      </c>
      <c r="J55" s="5">
        <f t="shared" si="7"/>
        <v>49</v>
      </c>
      <c r="K55" s="5">
        <v>29</v>
      </c>
    </row>
    <row r="56" spans="1:11" ht="15.75" customHeight="1" x14ac:dyDescent="0.15">
      <c r="A56" s="4">
        <v>6</v>
      </c>
      <c r="B56" s="5">
        <v>250</v>
      </c>
      <c r="C56" s="5">
        <v>57</v>
      </c>
      <c r="D56" s="5">
        <v>14</v>
      </c>
      <c r="E56" s="5">
        <f t="shared" si="6"/>
        <v>43</v>
      </c>
      <c r="F56" s="5" t="s">
        <v>197</v>
      </c>
      <c r="G56" s="5">
        <v>2</v>
      </c>
      <c r="H56" s="5">
        <v>222</v>
      </c>
      <c r="I56" s="5">
        <v>216</v>
      </c>
      <c r="J56" s="5">
        <f t="shared" si="7"/>
        <v>28</v>
      </c>
      <c r="K56" s="5">
        <v>26</v>
      </c>
    </row>
    <row r="57" spans="1:11" ht="15.75" customHeight="1" x14ac:dyDescent="0.15">
      <c r="A57" s="4">
        <v>7</v>
      </c>
      <c r="B57" s="5">
        <v>270</v>
      </c>
      <c r="C57" s="5">
        <v>57</v>
      </c>
      <c r="D57" s="5">
        <v>13.5</v>
      </c>
      <c r="E57" s="5">
        <f t="shared" si="6"/>
        <v>43.5</v>
      </c>
      <c r="F57" s="5" t="s">
        <v>181</v>
      </c>
      <c r="G57" s="5">
        <v>2</v>
      </c>
      <c r="H57" s="5">
        <v>223</v>
      </c>
      <c r="I57" s="5">
        <v>215</v>
      </c>
      <c r="J57" s="5">
        <f t="shared" si="7"/>
        <v>47</v>
      </c>
      <c r="K57" s="5">
        <v>21</v>
      </c>
    </row>
    <row r="58" spans="1:11" ht="15.75" customHeight="1" x14ac:dyDescent="0.15">
      <c r="A58" s="4">
        <v>8</v>
      </c>
      <c r="B58" s="5">
        <v>244</v>
      </c>
      <c r="C58" s="5">
        <v>50</v>
      </c>
      <c r="D58" s="5">
        <v>13</v>
      </c>
      <c r="E58" s="5">
        <f t="shared" si="6"/>
        <v>37</v>
      </c>
      <c r="F58" s="5" t="s">
        <v>191</v>
      </c>
      <c r="G58" s="5">
        <v>1.5</v>
      </c>
      <c r="H58" s="5">
        <v>220</v>
      </c>
      <c r="I58" s="5">
        <v>211</v>
      </c>
      <c r="J58" s="5">
        <f t="shared" si="7"/>
        <v>24</v>
      </c>
      <c r="K58" s="5">
        <v>24</v>
      </c>
    </row>
    <row r="59" spans="1:11" ht="15.75" customHeight="1" x14ac:dyDescent="0.15">
      <c r="A59" s="4">
        <v>9</v>
      </c>
      <c r="B59" s="5">
        <v>282</v>
      </c>
      <c r="C59" s="5">
        <v>64</v>
      </c>
      <c r="D59" s="5">
        <v>16</v>
      </c>
      <c r="E59" s="5">
        <f t="shared" si="6"/>
        <v>48</v>
      </c>
      <c r="F59" s="5" t="s">
        <v>198</v>
      </c>
      <c r="G59" s="5">
        <v>2.2999999999999998</v>
      </c>
      <c r="H59" s="5">
        <v>208</v>
      </c>
      <c r="I59" s="5">
        <v>200</v>
      </c>
      <c r="J59" s="5">
        <f t="shared" si="7"/>
        <v>74</v>
      </c>
      <c r="K59" s="5">
        <v>26</v>
      </c>
    </row>
    <row r="60" spans="1:11" ht="15.75" customHeight="1" x14ac:dyDescent="0.15">
      <c r="A60" s="4">
        <v>10</v>
      </c>
      <c r="B60" s="5">
        <v>202</v>
      </c>
      <c r="C60" s="5">
        <v>58</v>
      </c>
      <c r="D60" s="5">
        <v>12</v>
      </c>
      <c r="E60" s="5">
        <f t="shared" si="6"/>
        <v>46</v>
      </c>
      <c r="F60" s="5" t="s">
        <v>191</v>
      </c>
      <c r="G60" s="5">
        <v>2</v>
      </c>
      <c r="H60" s="5">
        <v>174</v>
      </c>
      <c r="I60" s="5">
        <v>170</v>
      </c>
      <c r="J60" s="5">
        <f t="shared" si="7"/>
        <v>28</v>
      </c>
      <c r="K60" s="5">
        <v>22</v>
      </c>
    </row>
    <row r="61" spans="1:11" ht="15.75" customHeight="1" x14ac:dyDescent="0.15">
      <c r="A61" s="4">
        <v>11</v>
      </c>
      <c r="B61" s="5">
        <v>200</v>
      </c>
      <c r="C61" s="5">
        <v>56</v>
      </c>
      <c r="D61" s="5">
        <v>12</v>
      </c>
      <c r="E61" s="5">
        <f t="shared" si="6"/>
        <v>44</v>
      </c>
      <c r="F61" s="5" t="s">
        <v>199</v>
      </c>
      <c r="G61" s="5">
        <v>2</v>
      </c>
      <c r="H61" s="5">
        <v>165</v>
      </c>
      <c r="I61" s="5">
        <v>162</v>
      </c>
      <c r="J61" s="5">
        <f t="shared" si="7"/>
        <v>35</v>
      </c>
      <c r="K61" s="5">
        <v>21</v>
      </c>
    </row>
    <row r="62" spans="1:11" ht="15.75" customHeight="1" x14ac:dyDescent="0.15">
      <c r="A62" s="46">
        <v>12</v>
      </c>
      <c r="B62" s="47">
        <v>207</v>
      </c>
      <c r="C62" s="47">
        <v>70</v>
      </c>
      <c r="D62" s="47">
        <v>11.5</v>
      </c>
      <c r="E62" s="5">
        <f t="shared" si="6"/>
        <v>58.5</v>
      </c>
      <c r="F62" s="47" t="s">
        <v>200</v>
      </c>
      <c r="G62" s="47">
        <v>1.5</v>
      </c>
      <c r="H62" s="47">
        <v>139</v>
      </c>
      <c r="I62" s="47">
        <v>126</v>
      </c>
      <c r="J62" s="5">
        <f t="shared" si="7"/>
        <v>68</v>
      </c>
      <c r="K62" s="47">
        <v>21</v>
      </c>
    </row>
    <row r="63" spans="1:11" ht="15.75" customHeight="1" x14ac:dyDescent="0.15"/>
    <row r="64" spans="1:11" ht="15.75" customHeight="1" x14ac:dyDescent="0.15"/>
    <row r="65" spans="1:11" ht="15.75" customHeight="1" x14ac:dyDescent="0.15">
      <c r="A65" s="82" t="s">
        <v>201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</row>
    <row r="66" spans="1:11" ht="15.75" customHeight="1" x14ac:dyDescent="0.15">
      <c r="A66" s="3" t="s">
        <v>159</v>
      </c>
      <c r="B66" s="3" t="s">
        <v>160</v>
      </c>
      <c r="C66" s="3" t="s">
        <v>161</v>
      </c>
      <c r="D66" s="2" t="s">
        <v>162</v>
      </c>
      <c r="E66" s="2" t="s">
        <v>163</v>
      </c>
      <c r="F66" s="2" t="s">
        <v>164</v>
      </c>
      <c r="G66" s="2" t="s">
        <v>165</v>
      </c>
      <c r="H66" s="2" t="s">
        <v>166</v>
      </c>
      <c r="I66" s="3" t="s">
        <v>167</v>
      </c>
      <c r="J66" s="2" t="s">
        <v>168</v>
      </c>
      <c r="K66" s="2" t="s">
        <v>169</v>
      </c>
    </row>
    <row r="67" spans="1:11" ht="15.75" customHeight="1" x14ac:dyDescent="0.15">
      <c r="A67" s="4">
        <v>1</v>
      </c>
      <c r="B67" s="5">
        <v>270</v>
      </c>
      <c r="C67" s="5">
        <v>55</v>
      </c>
      <c r="D67" s="5">
        <v>14</v>
      </c>
      <c r="E67" s="5">
        <f t="shared" ref="E67:E78" si="8">C67-D67</f>
        <v>41</v>
      </c>
      <c r="F67" s="5" t="s">
        <v>182</v>
      </c>
      <c r="G67" s="5">
        <v>2</v>
      </c>
      <c r="H67" s="5">
        <v>235</v>
      </c>
      <c r="I67" s="5">
        <v>230</v>
      </c>
      <c r="J67" s="5">
        <f t="shared" ref="J67:J78" si="9">B67-H67</f>
        <v>35</v>
      </c>
      <c r="K67" s="5">
        <v>43</v>
      </c>
    </row>
    <row r="68" spans="1:11" ht="15.75" customHeight="1" x14ac:dyDescent="0.15">
      <c r="A68" s="4">
        <v>2</v>
      </c>
      <c r="B68" s="5">
        <v>292</v>
      </c>
      <c r="C68" s="5">
        <v>55</v>
      </c>
      <c r="D68" s="43">
        <v>12</v>
      </c>
      <c r="E68" s="5">
        <f t="shared" si="8"/>
        <v>43</v>
      </c>
      <c r="F68" s="5" t="s">
        <v>171</v>
      </c>
      <c r="G68" s="5">
        <v>2</v>
      </c>
      <c r="H68" s="5">
        <v>221</v>
      </c>
      <c r="I68" s="5">
        <v>215</v>
      </c>
      <c r="J68" s="5">
        <f t="shared" si="9"/>
        <v>71</v>
      </c>
      <c r="K68" s="5">
        <v>40</v>
      </c>
    </row>
    <row r="69" spans="1:11" ht="15.75" customHeight="1" x14ac:dyDescent="0.15">
      <c r="A69" s="4">
        <v>3</v>
      </c>
      <c r="B69" s="5">
        <v>193</v>
      </c>
      <c r="C69" s="5">
        <v>46</v>
      </c>
      <c r="D69" s="5">
        <v>13</v>
      </c>
      <c r="E69" s="5">
        <f t="shared" si="8"/>
        <v>33</v>
      </c>
      <c r="F69" s="43" t="s">
        <v>202</v>
      </c>
      <c r="G69" s="43">
        <v>1.5</v>
      </c>
      <c r="H69" s="43">
        <v>162</v>
      </c>
      <c r="I69" s="5">
        <v>156</v>
      </c>
      <c r="J69" s="5">
        <f t="shared" si="9"/>
        <v>31</v>
      </c>
      <c r="K69" s="5">
        <v>34</v>
      </c>
    </row>
    <row r="70" spans="1:11" ht="15.75" customHeight="1" x14ac:dyDescent="0.15">
      <c r="A70" s="4">
        <v>4</v>
      </c>
      <c r="B70" s="5">
        <v>245</v>
      </c>
      <c r="C70" s="5">
        <v>53</v>
      </c>
      <c r="D70" s="5">
        <v>13</v>
      </c>
      <c r="E70" s="5">
        <f t="shared" si="8"/>
        <v>40</v>
      </c>
      <c r="F70" s="5" t="s">
        <v>193</v>
      </c>
      <c r="G70" s="5">
        <v>2</v>
      </c>
      <c r="H70" s="5">
        <v>204</v>
      </c>
      <c r="I70" s="5">
        <v>185</v>
      </c>
      <c r="J70" s="5">
        <f t="shared" si="9"/>
        <v>41</v>
      </c>
      <c r="K70" s="5">
        <v>29</v>
      </c>
    </row>
    <row r="71" spans="1:11" ht="15.75" customHeight="1" x14ac:dyDescent="0.15">
      <c r="A71" s="4">
        <v>5</v>
      </c>
      <c r="B71" s="5">
        <v>287</v>
      </c>
      <c r="C71" s="5">
        <v>64</v>
      </c>
      <c r="D71" s="5">
        <v>15</v>
      </c>
      <c r="E71" s="5">
        <f t="shared" si="8"/>
        <v>49</v>
      </c>
      <c r="F71" s="5" t="s">
        <v>203</v>
      </c>
      <c r="G71" s="43">
        <v>1.5</v>
      </c>
      <c r="H71" s="43">
        <v>213</v>
      </c>
      <c r="I71" s="5">
        <v>210</v>
      </c>
      <c r="J71" s="5">
        <f t="shared" si="9"/>
        <v>74</v>
      </c>
      <c r="K71" s="5">
        <v>32</v>
      </c>
    </row>
    <row r="72" spans="1:11" ht="15.75" customHeight="1" x14ac:dyDescent="0.15">
      <c r="A72" s="4">
        <v>6</v>
      </c>
      <c r="B72" s="5">
        <v>238</v>
      </c>
      <c r="C72" s="5">
        <v>57</v>
      </c>
      <c r="D72" s="5">
        <v>15</v>
      </c>
      <c r="E72" s="5">
        <f t="shared" si="8"/>
        <v>42</v>
      </c>
      <c r="F72" s="5" t="s">
        <v>204</v>
      </c>
      <c r="G72" s="5">
        <v>2</v>
      </c>
      <c r="H72" s="5">
        <v>205</v>
      </c>
      <c r="I72" s="5">
        <v>202</v>
      </c>
      <c r="J72" s="5">
        <f t="shared" si="9"/>
        <v>33</v>
      </c>
      <c r="K72" s="5">
        <v>34</v>
      </c>
    </row>
    <row r="73" spans="1:11" ht="15.75" customHeight="1" x14ac:dyDescent="0.15">
      <c r="A73" s="4">
        <v>7</v>
      </c>
      <c r="B73" s="5">
        <v>258</v>
      </c>
      <c r="C73" s="5">
        <v>54</v>
      </c>
      <c r="D73" s="5">
        <v>15</v>
      </c>
      <c r="E73" s="5">
        <f t="shared" si="8"/>
        <v>39</v>
      </c>
      <c r="F73" s="5" t="s">
        <v>183</v>
      </c>
      <c r="G73" s="5">
        <v>2</v>
      </c>
      <c r="H73" s="5">
        <v>220</v>
      </c>
      <c r="I73" s="5">
        <v>218</v>
      </c>
      <c r="J73" s="5">
        <f t="shared" si="9"/>
        <v>38</v>
      </c>
      <c r="K73" s="5">
        <v>34</v>
      </c>
    </row>
    <row r="74" spans="1:11" ht="15.75" customHeight="1" x14ac:dyDescent="0.15">
      <c r="A74" s="4">
        <v>8</v>
      </c>
      <c r="B74" s="5">
        <v>234</v>
      </c>
      <c r="C74" s="5">
        <v>60</v>
      </c>
      <c r="D74" s="5">
        <v>14</v>
      </c>
      <c r="E74" s="5">
        <f t="shared" si="8"/>
        <v>46</v>
      </c>
      <c r="F74" s="5" t="s">
        <v>191</v>
      </c>
      <c r="G74" s="5">
        <v>2</v>
      </c>
      <c r="H74" s="5">
        <v>202</v>
      </c>
      <c r="I74" s="5">
        <v>200</v>
      </c>
      <c r="J74" s="5">
        <f t="shared" si="9"/>
        <v>32</v>
      </c>
      <c r="K74" s="5">
        <v>35</v>
      </c>
    </row>
    <row r="75" spans="1:11" ht="15.75" customHeight="1" x14ac:dyDescent="0.15">
      <c r="A75" s="4">
        <v>9</v>
      </c>
      <c r="B75" s="5">
        <v>235</v>
      </c>
      <c r="C75" s="5">
        <v>43</v>
      </c>
      <c r="D75" s="5">
        <v>11</v>
      </c>
      <c r="E75" s="5">
        <f t="shared" si="8"/>
        <v>32</v>
      </c>
      <c r="F75" s="5" t="s">
        <v>187</v>
      </c>
      <c r="G75" s="5">
        <v>2</v>
      </c>
      <c r="H75" s="5">
        <v>193</v>
      </c>
      <c r="I75" s="5">
        <v>180</v>
      </c>
      <c r="J75" s="5">
        <f t="shared" si="9"/>
        <v>42</v>
      </c>
      <c r="K75" s="5">
        <v>31</v>
      </c>
    </row>
    <row r="76" spans="1:11" ht="15.75" customHeight="1" x14ac:dyDescent="0.15">
      <c r="A76" s="4">
        <v>10</v>
      </c>
      <c r="B76" s="5">
        <v>273</v>
      </c>
      <c r="C76" s="5">
        <v>49</v>
      </c>
      <c r="D76" s="5">
        <v>11</v>
      </c>
      <c r="E76" s="5">
        <f t="shared" si="8"/>
        <v>38</v>
      </c>
      <c r="F76" s="5" t="s">
        <v>189</v>
      </c>
      <c r="G76" s="5">
        <v>2</v>
      </c>
      <c r="H76" s="5">
        <v>222</v>
      </c>
      <c r="I76" s="5">
        <v>224</v>
      </c>
      <c r="J76" s="5">
        <f t="shared" si="9"/>
        <v>51</v>
      </c>
      <c r="K76" s="5">
        <v>46</v>
      </c>
    </row>
    <row r="77" spans="1:11" ht="15.75" customHeight="1" x14ac:dyDescent="0.15">
      <c r="A77" s="4">
        <v>11</v>
      </c>
      <c r="B77" s="5">
        <v>254</v>
      </c>
      <c r="C77" s="5">
        <v>51</v>
      </c>
      <c r="D77" s="5">
        <v>13</v>
      </c>
      <c r="E77" s="5">
        <f t="shared" si="8"/>
        <v>38</v>
      </c>
      <c r="F77" s="5" t="s">
        <v>202</v>
      </c>
      <c r="G77" s="5">
        <v>2</v>
      </c>
      <c r="H77" s="5">
        <v>236</v>
      </c>
      <c r="I77" s="5">
        <v>229</v>
      </c>
      <c r="J77" s="5">
        <f t="shared" si="9"/>
        <v>18</v>
      </c>
      <c r="K77" s="5">
        <v>31</v>
      </c>
    </row>
    <row r="78" spans="1:11" ht="15.75" customHeight="1" x14ac:dyDescent="0.15">
      <c r="A78" s="46">
        <v>12</v>
      </c>
      <c r="B78" s="47">
        <v>235</v>
      </c>
      <c r="C78" s="47">
        <v>59</v>
      </c>
      <c r="D78" s="47">
        <v>13</v>
      </c>
      <c r="E78" s="5">
        <f t="shared" si="8"/>
        <v>46</v>
      </c>
      <c r="F78" s="47" t="s">
        <v>196</v>
      </c>
      <c r="G78" s="47">
        <v>2</v>
      </c>
      <c r="H78" s="47">
        <v>180</v>
      </c>
      <c r="I78" s="47">
        <v>174</v>
      </c>
      <c r="J78" s="5">
        <f t="shared" si="9"/>
        <v>55</v>
      </c>
      <c r="K78" s="47">
        <v>30</v>
      </c>
    </row>
    <row r="79" spans="1:11" ht="15.75" customHeight="1" x14ac:dyDescent="0.15"/>
    <row r="80" spans="1:11" ht="15.75" customHeight="1" x14ac:dyDescent="0.15"/>
    <row r="81" spans="1:11" ht="15.75" customHeight="1" x14ac:dyDescent="0.15">
      <c r="A81" s="82" t="s">
        <v>205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</row>
    <row r="82" spans="1:11" ht="15.75" customHeight="1" x14ac:dyDescent="0.15">
      <c r="A82" s="3" t="s">
        <v>159</v>
      </c>
      <c r="B82" s="3" t="s">
        <v>160</v>
      </c>
      <c r="C82" s="3" t="s">
        <v>161</v>
      </c>
      <c r="D82" s="2" t="s">
        <v>162</v>
      </c>
      <c r="E82" s="2" t="s">
        <v>163</v>
      </c>
      <c r="F82" s="2" t="s">
        <v>164</v>
      </c>
      <c r="G82" s="2" t="s">
        <v>165</v>
      </c>
      <c r="H82" s="2" t="s">
        <v>166</v>
      </c>
      <c r="I82" s="3" t="s">
        <v>167</v>
      </c>
      <c r="J82" s="2" t="s">
        <v>168</v>
      </c>
      <c r="K82" s="2" t="s">
        <v>169</v>
      </c>
    </row>
    <row r="83" spans="1:11" ht="15.75" customHeight="1" x14ac:dyDescent="0.15">
      <c r="A83" s="4">
        <v>1</v>
      </c>
      <c r="B83" s="5">
        <v>236</v>
      </c>
      <c r="C83" s="5">
        <v>54</v>
      </c>
      <c r="D83" s="5">
        <v>14</v>
      </c>
      <c r="E83" s="5">
        <f t="shared" ref="E83:E94" si="10">C83-D83</f>
        <v>40</v>
      </c>
      <c r="F83" s="5" t="s">
        <v>173</v>
      </c>
      <c r="G83" s="5">
        <v>2</v>
      </c>
      <c r="H83" s="5">
        <v>200</v>
      </c>
      <c r="I83" s="5">
        <v>190</v>
      </c>
      <c r="J83" s="5">
        <f t="shared" ref="J83:J94" si="11">B83-H83</f>
        <v>36</v>
      </c>
      <c r="K83" s="5">
        <v>40</v>
      </c>
    </row>
    <row r="84" spans="1:11" ht="15.75" customHeight="1" x14ac:dyDescent="0.15">
      <c r="A84" s="4">
        <v>2</v>
      </c>
      <c r="B84" s="5">
        <v>248</v>
      </c>
      <c r="C84" s="5">
        <v>55</v>
      </c>
      <c r="D84" s="43">
        <v>14</v>
      </c>
      <c r="E84" s="5">
        <f t="shared" si="10"/>
        <v>41</v>
      </c>
      <c r="F84" s="5" t="s">
        <v>202</v>
      </c>
      <c r="G84" s="5">
        <v>2</v>
      </c>
      <c r="H84" s="5">
        <v>212</v>
      </c>
      <c r="I84" s="5">
        <v>204</v>
      </c>
      <c r="J84" s="5">
        <f t="shared" si="11"/>
        <v>36</v>
      </c>
      <c r="K84" s="5">
        <v>41</v>
      </c>
    </row>
    <row r="85" spans="1:11" ht="15.75" customHeight="1" x14ac:dyDescent="0.15">
      <c r="A85" s="4">
        <v>3</v>
      </c>
      <c r="B85" s="5">
        <v>211</v>
      </c>
      <c r="C85" s="5">
        <v>53</v>
      </c>
      <c r="D85" s="5">
        <v>13</v>
      </c>
      <c r="E85" s="5">
        <f t="shared" si="10"/>
        <v>40</v>
      </c>
      <c r="F85" s="43" t="s">
        <v>177</v>
      </c>
      <c r="G85" s="43">
        <v>2</v>
      </c>
      <c r="H85" s="43">
        <v>158</v>
      </c>
      <c r="I85" s="5">
        <v>150</v>
      </c>
      <c r="J85" s="5">
        <f t="shared" si="11"/>
        <v>53</v>
      </c>
      <c r="K85" s="5">
        <v>40</v>
      </c>
    </row>
    <row r="86" spans="1:11" ht="15.75" customHeight="1" x14ac:dyDescent="0.15">
      <c r="A86" s="4">
        <v>4</v>
      </c>
      <c r="B86" s="5">
        <v>274</v>
      </c>
      <c r="C86" s="5">
        <v>56</v>
      </c>
      <c r="D86" s="5">
        <v>15.5</v>
      </c>
      <c r="E86" s="5">
        <f t="shared" si="10"/>
        <v>40.5</v>
      </c>
      <c r="F86" s="5" t="s">
        <v>193</v>
      </c>
      <c r="G86" s="5">
        <v>2</v>
      </c>
      <c r="H86" s="5">
        <v>225</v>
      </c>
      <c r="I86" s="5">
        <v>212</v>
      </c>
      <c r="J86" s="5">
        <f t="shared" si="11"/>
        <v>49</v>
      </c>
      <c r="K86" s="5">
        <v>35</v>
      </c>
    </row>
    <row r="87" spans="1:11" ht="15.75" customHeight="1" x14ac:dyDescent="0.15">
      <c r="A87" s="4">
        <v>5</v>
      </c>
      <c r="B87" s="5">
        <v>230</v>
      </c>
      <c r="C87" s="5">
        <v>56</v>
      </c>
      <c r="D87" s="5">
        <v>14</v>
      </c>
      <c r="E87" s="5">
        <f t="shared" si="10"/>
        <v>42</v>
      </c>
      <c r="F87" s="5" t="s">
        <v>188</v>
      </c>
      <c r="G87" s="43">
        <v>2</v>
      </c>
      <c r="H87" s="43">
        <v>211</v>
      </c>
      <c r="I87" s="5">
        <v>199</v>
      </c>
      <c r="J87" s="5">
        <f t="shared" si="11"/>
        <v>19</v>
      </c>
      <c r="K87" s="5">
        <v>35</v>
      </c>
    </row>
    <row r="88" spans="1:11" ht="15.75" customHeight="1" x14ac:dyDescent="0.15">
      <c r="A88" s="4">
        <v>6</v>
      </c>
      <c r="B88" s="5">
        <v>238</v>
      </c>
      <c r="C88" s="5">
        <v>63</v>
      </c>
      <c r="D88" s="5">
        <v>14</v>
      </c>
      <c r="E88" s="5">
        <f t="shared" si="10"/>
        <v>49</v>
      </c>
      <c r="F88" s="5" t="s">
        <v>174</v>
      </c>
      <c r="G88" s="5">
        <v>2</v>
      </c>
      <c r="H88" s="5">
        <v>217</v>
      </c>
      <c r="I88" s="5">
        <v>204</v>
      </c>
      <c r="J88" s="5">
        <f t="shared" si="11"/>
        <v>21</v>
      </c>
      <c r="K88" s="5">
        <v>37</v>
      </c>
    </row>
    <row r="89" spans="1:11" ht="15.75" customHeight="1" x14ac:dyDescent="0.15">
      <c r="A89" s="4">
        <v>7</v>
      </c>
      <c r="B89" s="5">
        <v>256</v>
      </c>
      <c r="C89" s="5">
        <v>51</v>
      </c>
      <c r="D89" s="5">
        <v>11</v>
      </c>
      <c r="E89" s="5">
        <f t="shared" si="10"/>
        <v>40</v>
      </c>
      <c r="F89" s="5" t="s">
        <v>206</v>
      </c>
      <c r="G89" s="5">
        <v>2</v>
      </c>
      <c r="H89" s="5">
        <v>217</v>
      </c>
      <c r="I89" s="5">
        <v>211</v>
      </c>
      <c r="J89" s="5">
        <f t="shared" si="11"/>
        <v>39</v>
      </c>
      <c r="K89" s="5">
        <v>34</v>
      </c>
    </row>
    <row r="90" spans="1:11" ht="15.75" customHeight="1" x14ac:dyDescent="0.15">
      <c r="A90" s="4">
        <v>8</v>
      </c>
      <c r="B90" s="5">
        <v>253</v>
      </c>
      <c r="C90" s="5">
        <v>23</v>
      </c>
      <c r="D90" s="5">
        <v>10</v>
      </c>
      <c r="E90" s="5">
        <f t="shared" si="10"/>
        <v>13</v>
      </c>
      <c r="F90" s="5" t="s">
        <v>207</v>
      </c>
      <c r="G90" s="5">
        <v>2</v>
      </c>
      <c r="H90" s="5">
        <v>213</v>
      </c>
      <c r="I90" s="5">
        <v>210</v>
      </c>
      <c r="J90" s="5">
        <f t="shared" si="11"/>
        <v>40</v>
      </c>
      <c r="K90" s="5">
        <v>28</v>
      </c>
    </row>
    <row r="91" spans="1:11" ht="15.75" customHeight="1" x14ac:dyDescent="0.15">
      <c r="A91" s="4">
        <v>9</v>
      </c>
      <c r="B91" s="5">
        <v>255</v>
      </c>
      <c r="C91" s="5">
        <v>49</v>
      </c>
      <c r="D91" s="5">
        <v>12</v>
      </c>
      <c r="E91" s="5">
        <f t="shared" si="10"/>
        <v>37</v>
      </c>
      <c r="F91" s="5" t="s">
        <v>184</v>
      </c>
      <c r="G91" s="5">
        <v>2</v>
      </c>
      <c r="H91" s="5">
        <v>221</v>
      </c>
      <c r="I91" s="5">
        <v>211</v>
      </c>
      <c r="J91" s="5">
        <f t="shared" si="11"/>
        <v>34</v>
      </c>
      <c r="K91" s="5">
        <v>40</v>
      </c>
    </row>
    <row r="92" spans="1:11" ht="15.75" customHeight="1" x14ac:dyDescent="0.15">
      <c r="A92" s="4">
        <v>10</v>
      </c>
      <c r="B92" s="5">
        <v>258</v>
      </c>
      <c r="C92" s="5">
        <v>53</v>
      </c>
      <c r="D92" s="5">
        <v>14</v>
      </c>
      <c r="E92" s="5">
        <f t="shared" si="10"/>
        <v>39</v>
      </c>
      <c r="F92" s="5" t="s">
        <v>193</v>
      </c>
      <c r="G92" s="5">
        <v>2</v>
      </c>
      <c r="H92" s="5">
        <v>225</v>
      </c>
      <c r="I92" s="5">
        <v>219</v>
      </c>
      <c r="J92" s="5">
        <f t="shared" si="11"/>
        <v>33</v>
      </c>
      <c r="K92" s="5">
        <v>34</v>
      </c>
    </row>
    <row r="93" spans="1:11" ht="15.75" customHeight="1" x14ac:dyDescent="0.15">
      <c r="A93" s="4">
        <v>11</v>
      </c>
      <c r="B93" s="5">
        <v>214</v>
      </c>
      <c r="C93" s="5">
        <v>58</v>
      </c>
      <c r="D93" s="5">
        <v>12</v>
      </c>
      <c r="E93" s="5">
        <f t="shared" si="10"/>
        <v>46</v>
      </c>
      <c r="F93" s="5" t="s">
        <v>208</v>
      </c>
      <c r="G93" s="5">
        <v>2</v>
      </c>
      <c r="H93" s="5">
        <v>209</v>
      </c>
      <c r="I93" s="5">
        <v>204</v>
      </c>
      <c r="J93" s="5">
        <f t="shared" si="11"/>
        <v>5</v>
      </c>
      <c r="K93" s="5">
        <v>32</v>
      </c>
    </row>
    <row r="94" spans="1:11" ht="15.75" customHeight="1" x14ac:dyDescent="0.15">
      <c r="A94" s="46">
        <v>12</v>
      </c>
      <c r="B94" s="47">
        <v>276</v>
      </c>
      <c r="C94" s="47">
        <v>57</v>
      </c>
      <c r="D94" s="47">
        <v>13</v>
      </c>
      <c r="E94" s="5">
        <f t="shared" si="10"/>
        <v>44</v>
      </c>
      <c r="F94" s="47" t="s">
        <v>209</v>
      </c>
      <c r="G94" s="47">
        <v>2</v>
      </c>
      <c r="H94" s="47">
        <v>246</v>
      </c>
      <c r="I94" s="47">
        <v>234</v>
      </c>
      <c r="J94" s="5">
        <f t="shared" si="11"/>
        <v>30</v>
      </c>
      <c r="K94" s="47">
        <v>32</v>
      </c>
    </row>
    <row r="95" spans="1:11" ht="15.75" customHeight="1" x14ac:dyDescent="0.15">
      <c r="E95" s="5"/>
    </row>
    <row r="96" spans="1:11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spans="9:9" ht="15.75" customHeight="1" x14ac:dyDescent="0.15"/>
    <row r="114" spans="9:9" ht="15.75" customHeight="1" x14ac:dyDescent="0.15"/>
    <row r="115" spans="9:9" ht="15.75" customHeight="1" x14ac:dyDescent="0.15"/>
    <row r="116" spans="9:9" ht="15.75" customHeight="1" x14ac:dyDescent="0.15"/>
    <row r="117" spans="9:9" ht="15.75" customHeight="1" x14ac:dyDescent="0.15">
      <c r="I117" s="14">
        <v>4</v>
      </c>
    </row>
    <row r="118" spans="9:9" ht="15.75" customHeight="1" x14ac:dyDescent="0.15"/>
    <row r="119" spans="9:9" ht="15.75" customHeight="1" x14ac:dyDescent="0.15"/>
    <row r="120" spans="9:9" ht="15.75" customHeight="1" x14ac:dyDescent="0.15"/>
    <row r="121" spans="9:9" ht="15.75" customHeight="1" x14ac:dyDescent="0.15"/>
    <row r="122" spans="9:9" ht="15.75" customHeight="1" x14ac:dyDescent="0.15"/>
    <row r="123" spans="9:9" ht="15.75" customHeight="1" x14ac:dyDescent="0.15"/>
    <row r="124" spans="9:9" ht="15.75" customHeight="1" x14ac:dyDescent="0.15"/>
    <row r="125" spans="9:9" ht="15.75" customHeight="1" x14ac:dyDescent="0.15"/>
    <row r="126" spans="9:9" ht="15.75" customHeight="1" x14ac:dyDescent="0.15"/>
    <row r="127" spans="9:9" ht="15.75" customHeight="1" x14ac:dyDescent="0.15"/>
    <row r="128" spans="9:9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6">
    <mergeCell ref="A81:K81"/>
    <mergeCell ref="A1:K1"/>
    <mergeCell ref="A17:K17"/>
    <mergeCell ref="A33:K33"/>
    <mergeCell ref="A49:K49"/>
    <mergeCell ref="A65:K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Seedlings measurements</vt:lpstr>
      <vt:lpstr>Water quality measurments Senso</vt:lpstr>
      <vt:lpstr>Water quality parametersPortabl</vt:lpstr>
      <vt:lpstr>Nutrients  Water consumptions</vt:lpstr>
      <vt:lpstr>Head diameter</vt:lpstr>
      <vt:lpstr>Harvest measurements 842024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OSAMA MOHAMED SHALASH</cp:lastModifiedBy>
  <dcterms:modified xsi:type="dcterms:W3CDTF">2024-07-17T09:14:07Z</dcterms:modified>
</cp:coreProperties>
</file>