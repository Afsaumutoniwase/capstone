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lings measurements 1952024" sheetId="1" r:id="rId4"/>
    <sheet state="visible" name="Water quality measurments Senso" sheetId="2" r:id="rId5"/>
    <sheet state="visible" name="Water quality parametersPortabl" sheetId="3" r:id="rId6"/>
    <sheet state="visible" name="Nutrients Water Consumptions" sheetId="4" r:id="rId7"/>
    <sheet state="visible" name="Harvest measurements 1862024" sheetId="5" r:id="rId8"/>
  </sheets>
  <definedNames/>
  <calcPr/>
</workbook>
</file>

<file path=xl/sharedStrings.xml><?xml version="1.0" encoding="utf-8"?>
<sst xmlns="http://schemas.openxmlformats.org/spreadsheetml/2006/main" count="570" uniqueCount="139">
  <si>
    <t xml:space="preserve">Academy project EXP 3 seedling </t>
  </si>
  <si>
    <t xml:space="preserve">Plant NO. </t>
  </si>
  <si>
    <t>Plant height  (cm)</t>
  </si>
  <si>
    <t>Shoot length (cm)</t>
  </si>
  <si>
    <t>Root length (cm)</t>
  </si>
  <si>
    <t>Head diameter (cm)</t>
  </si>
  <si>
    <t>Stem diameter  (cm)</t>
  </si>
  <si>
    <t>Total weight (g)</t>
  </si>
  <si>
    <t>Shoot weight (g)</t>
  </si>
  <si>
    <t>Root weight (g)</t>
  </si>
  <si>
    <t>No. of leaves</t>
  </si>
  <si>
    <t>9*5</t>
  </si>
  <si>
    <t>8*5</t>
  </si>
  <si>
    <t>10*9</t>
  </si>
  <si>
    <t>6.5*6</t>
  </si>
  <si>
    <t>6.5*6.5</t>
  </si>
  <si>
    <t>6.5*5.5</t>
  </si>
  <si>
    <t>5.5*5</t>
  </si>
  <si>
    <t>6.5*4.5</t>
  </si>
  <si>
    <t>6*7</t>
  </si>
  <si>
    <t>7*5.5</t>
  </si>
  <si>
    <t>Replicate 1 T1</t>
  </si>
  <si>
    <t xml:space="preserve">Air parameters </t>
  </si>
  <si>
    <t xml:space="preserve">Date </t>
  </si>
  <si>
    <t xml:space="preserve">Tme </t>
  </si>
  <si>
    <t>pH</t>
  </si>
  <si>
    <t xml:space="preserve">EC </t>
  </si>
  <si>
    <t xml:space="preserve">TDS </t>
  </si>
  <si>
    <t xml:space="preserve">Water temp. </t>
  </si>
  <si>
    <t>RH%</t>
  </si>
  <si>
    <t xml:space="preserve">Air temp. </t>
  </si>
  <si>
    <t xml:space="preserve">CO2 </t>
  </si>
  <si>
    <t xml:space="preserve"> </t>
  </si>
  <si>
    <t>Replicate 2 T1</t>
  </si>
  <si>
    <t>Replicate 3 T1</t>
  </si>
  <si>
    <t>Replicate 1 T2</t>
  </si>
  <si>
    <t>Replicate 2 T2</t>
  </si>
  <si>
    <t>Replicate 3 T2</t>
  </si>
  <si>
    <t>Lux</t>
  </si>
  <si>
    <t>Air Temp.</t>
  </si>
  <si>
    <t>19/5/2024</t>
  </si>
  <si>
    <t>-</t>
  </si>
  <si>
    <t>20/5/2024</t>
  </si>
  <si>
    <t>21/5/2024</t>
  </si>
  <si>
    <t>22/5/2024</t>
  </si>
  <si>
    <t>23/5/2024</t>
  </si>
  <si>
    <t>24\05\2024</t>
  </si>
  <si>
    <t>25/5/2024</t>
  </si>
  <si>
    <t>26\5\2024</t>
  </si>
  <si>
    <t>27\5\2024</t>
  </si>
  <si>
    <t>28\5\2024</t>
  </si>
  <si>
    <t>29\5\2024</t>
  </si>
  <si>
    <t>30\5\2024</t>
  </si>
  <si>
    <t>31\5\2024</t>
  </si>
  <si>
    <t>1\6\2024</t>
  </si>
  <si>
    <t>2\6\2024</t>
  </si>
  <si>
    <t>3\6\2024</t>
  </si>
  <si>
    <t>4\6\2024</t>
  </si>
  <si>
    <t>5\6\2024</t>
  </si>
  <si>
    <t>6\6\2024</t>
  </si>
  <si>
    <t>7\6\2024</t>
  </si>
  <si>
    <t>13/6/2024</t>
  </si>
  <si>
    <t>14/6/2024</t>
  </si>
  <si>
    <t>15/6/2024</t>
  </si>
  <si>
    <t>16/6/2024</t>
  </si>
  <si>
    <t>17/6/2024</t>
  </si>
  <si>
    <t>18/6/2024</t>
  </si>
  <si>
    <t>19/6/2024</t>
  </si>
  <si>
    <t>Nutrient solution addition (A+B) ml.</t>
  </si>
  <si>
    <t>Water consumption L.</t>
  </si>
  <si>
    <t xml:space="preserve">Acid consumption ml </t>
  </si>
  <si>
    <t>24/5/2024</t>
  </si>
  <si>
    <t xml:space="preserve">Total </t>
  </si>
  <si>
    <t xml:space="preserve"> Exp 3. Harvest Measurments </t>
  </si>
  <si>
    <t xml:space="preserve">System </t>
  </si>
  <si>
    <t>Plant No.</t>
  </si>
  <si>
    <t>Plant height (cm)</t>
  </si>
  <si>
    <t>H.D (cm)</t>
  </si>
  <si>
    <t>Stem diameter (cm)</t>
  </si>
  <si>
    <t xml:space="preserve">Shoot weight before removing wilted leaves (g) </t>
  </si>
  <si>
    <t xml:space="preserve">Shoot weight after removing wilted leaves (g) </t>
  </si>
  <si>
    <t xml:space="preserve">Root weight (g) </t>
  </si>
  <si>
    <t xml:space="preserve">No.of leaves </t>
  </si>
  <si>
    <t>R1T1</t>
  </si>
  <si>
    <t>30*31</t>
  </si>
  <si>
    <t>29*31</t>
  </si>
  <si>
    <t>28*30</t>
  </si>
  <si>
    <t>29*29</t>
  </si>
  <si>
    <t>30*29</t>
  </si>
  <si>
    <t>30*30</t>
  </si>
  <si>
    <t>30*32</t>
  </si>
  <si>
    <t>28*29</t>
  </si>
  <si>
    <t>R2T1</t>
  </si>
  <si>
    <t>32*31</t>
  </si>
  <si>
    <t>33*32</t>
  </si>
  <si>
    <t>35*32</t>
  </si>
  <si>
    <t>29*30</t>
  </si>
  <si>
    <t>31*29</t>
  </si>
  <si>
    <t>33*35</t>
  </si>
  <si>
    <t>29*32</t>
  </si>
  <si>
    <t>33*30</t>
  </si>
  <si>
    <t>34*34</t>
  </si>
  <si>
    <t>R3T1</t>
  </si>
  <si>
    <t>29*28</t>
  </si>
  <si>
    <t>26*29</t>
  </si>
  <si>
    <t>30*27</t>
  </si>
  <si>
    <t>31*33</t>
  </si>
  <si>
    <t>33*31</t>
  </si>
  <si>
    <t>27*27</t>
  </si>
  <si>
    <t>25*24</t>
  </si>
  <si>
    <t>R1T2</t>
  </si>
  <si>
    <t>27*24</t>
  </si>
  <si>
    <t>24*26</t>
  </si>
  <si>
    <t>27*28</t>
  </si>
  <si>
    <t>31*28</t>
  </si>
  <si>
    <t>27*22</t>
  </si>
  <si>
    <t>32*29</t>
  </si>
  <si>
    <t>25*30</t>
  </si>
  <si>
    <t>32*30</t>
  </si>
  <si>
    <t>R2T2</t>
  </si>
  <si>
    <t>28*20</t>
  </si>
  <si>
    <t>28*27</t>
  </si>
  <si>
    <t>26*28</t>
  </si>
  <si>
    <t>27*23</t>
  </si>
  <si>
    <t>27*29</t>
  </si>
  <si>
    <t>22*24</t>
  </si>
  <si>
    <t>28*26</t>
  </si>
  <si>
    <t>23*23</t>
  </si>
  <si>
    <t>R3T2</t>
  </si>
  <si>
    <t>29*23</t>
  </si>
  <si>
    <t>24*23</t>
  </si>
  <si>
    <t>27*25</t>
  </si>
  <si>
    <t>25*27</t>
  </si>
  <si>
    <t>25*29</t>
  </si>
  <si>
    <t>24*22</t>
  </si>
  <si>
    <t>25*25</t>
  </si>
  <si>
    <t>23*21</t>
  </si>
  <si>
    <t>23*24</t>
  </si>
  <si>
    <t>23*29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</si>
</sst>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:mm:ss am/pm"/>
    <numFmt numFmtId="166" formatCode="h:mm am/pm"/>
    <numFmt numFmtId="167" formatCode="0.0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b/>
      <i/>
      <color theme="1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sz val="12.0"/>
      <color theme="1"/>
      <name val="Calibri"/>
    </font>
    <font>
      <b/>
      <sz val="13.0"/>
      <color theme="1"/>
      <name val="Arial"/>
      <scheme val="minor"/>
    </font>
    <font>
      <b/>
      <sz val="15.0"/>
      <color rgb="FFFFFFFF"/>
      <name val="Arial"/>
      <scheme val="minor"/>
    </font>
    <font>
      <sz val="12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2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0" fillId="3" fontId="5" numFmtId="0" xfId="0" applyFill="1" applyFont="1"/>
    <xf borderId="4" fillId="3" fontId="5" numFmtId="0" xfId="0" applyAlignment="1" applyBorder="1" applyFont="1">
      <alignment horizontal="center" readingOrder="0"/>
    </xf>
    <xf borderId="5" fillId="4" fontId="5" numFmtId="0" xfId="0" applyAlignment="1" applyBorder="1" applyFill="1" applyFont="1">
      <alignment horizontal="center" readingOrder="0"/>
    </xf>
    <xf borderId="4" fillId="0" fontId="2" numFmtId="0" xfId="0" applyBorder="1" applyFont="1"/>
    <xf borderId="0" fillId="3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0" fillId="3" fontId="5" numFmtId="0" xfId="0" applyAlignment="1" applyFont="1">
      <alignment readingOrder="0"/>
    </xf>
    <xf borderId="7" fillId="3" fontId="7" numFmtId="164" xfId="0" applyAlignment="1" applyBorder="1" applyFont="1" applyNumberFormat="1">
      <alignment horizontal="center" vertical="bottom"/>
    </xf>
    <xf borderId="7" fillId="3" fontId="7" numFmtId="165" xfId="0" applyAlignment="1" applyBorder="1" applyFont="1" applyNumberFormat="1">
      <alignment horizontal="center" vertical="bottom"/>
    </xf>
    <xf borderId="7" fillId="0" fontId="7" numFmtId="0" xfId="0" applyAlignment="1" applyBorder="1" applyFont="1">
      <alignment horizontal="center" vertical="bottom"/>
    </xf>
    <xf borderId="0" fillId="3" fontId="7" numFmtId="164" xfId="0" applyAlignment="1" applyFont="1" applyNumberFormat="1">
      <alignment horizontal="center" vertical="bottom"/>
    </xf>
    <xf borderId="0" fillId="3" fontId="7" numFmtId="165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3" fontId="7" numFmtId="164" xfId="0" applyAlignment="1" applyFont="1" applyNumberFormat="1">
      <alignment horizontal="center" readingOrder="0" vertical="bottom"/>
    </xf>
    <xf borderId="0" fillId="6" fontId="7" numFmtId="165" xfId="0" applyAlignment="1" applyFill="1" applyFont="1" applyNumberFormat="1">
      <alignment horizontal="center" vertical="bottom"/>
    </xf>
    <xf borderId="0" fillId="6" fontId="5" numFmtId="0" xfId="0" applyFont="1"/>
    <xf borderId="0" fillId="6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5" numFmtId="0" xfId="0" applyAlignment="1" applyFill="1" applyFont="1">
      <alignment horizontal="center" readingOrder="0"/>
    </xf>
    <xf borderId="0" fillId="8" fontId="8" numFmtId="166" xfId="0" applyAlignment="1" applyFill="1" applyFont="1" applyNumberFormat="1">
      <alignment horizontal="center" readingOrder="0"/>
    </xf>
    <xf borderId="0" fillId="8" fontId="8" numFmtId="0" xfId="0" applyAlignment="1" applyFont="1">
      <alignment horizontal="center" readingOrder="0"/>
    </xf>
    <xf borderId="0" fillId="9" fontId="5" numFmtId="166" xfId="0" applyAlignment="1" applyFill="1" applyFont="1" applyNumberFormat="1">
      <alignment horizontal="center" readingOrder="0"/>
    </xf>
    <xf borderId="0" fillId="10" fontId="9" numFmtId="166" xfId="0" applyAlignment="1" applyFill="1" applyFont="1" applyNumberFormat="1">
      <alignment horizontal="center" readingOrder="0"/>
    </xf>
    <xf borderId="0" fillId="7" fontId="5" numFmtId="0" xfId="0" applyAlignment="1" applyFont="1">
      <alignment horizontal="center"/>
    </xf>
    <xf borderId="5" fillId="11" fontId="5" numFmtId="0" xfId="0" applyAlignment="1" applyBorder="1" applyFill="1" applyFont="1">
      <alignment horizontal="center" readingOrder="0"/>
    </xf>
    <xf borderId="5" fillId="12" fontId="5" numFmtId="0" xfId="0" applyAlignment="1" applyBorder="1" applyFill="1" applyFont="1">
      <alignment horizontal="center" readingOrder="0"/>
    </xf>
    <xf borderId="5" fillId="13" fontId="5" numFmtId="0" xfId="0" applyAlignment="1" applyBorder="1" applyFill="1" applyFont="1">
      <alignment horizontal="center" readingOrder="0"/>
    </xf>
    <xf borderId="5" fillId="3" fontId="5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8" fillId="13" fontId="5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7" fontId="4" numFmtId="0" xfId="0" applyAlignment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9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7" fontId="4" numFmtId="0" xfId="0" applyAlignment="1" applyFont="1">
      <alignment horizontal="center" vertical="bottom"/>
    </xf>
    <xf borderId="0" fillId="7" fontId="4" numFmtId="164" xfId="0" applyAlignment="1" applyFont="1" applyNumberFormat="1">
      <alignment horizontal="center" vertical="bottom"/>
    </xf>
    <xf borderId="0" fillId="14" fontId="4" numFmtId="0" xfId="0" applyAlignment="1" applyFill="1" applyFont="1">
      <alignment horizontal="center" vertical="bottom"/>
    </xf>
    <xf borderId="0" fillId="15" fontId="4" numFmtId="0" xfId="0" applyAlignment="1" applyFill="1" applyFont="1">
      <alignment horizontal="center" vertical="bottom"/>
    </xf>
    <xf borderId="0" fillId="16" fontId="5" numFmtId="0" xfId="0" applyAlignment="1" applyFill="1" applyFont="1">
      <alignment horizontal="center" readingOrder="0" vertical="center"/>
    </xf>
    <xf borderId="5" fillId="16" fontId="10" numFmtId="0" xfId="0" applyAlignment="1" applyBorder="1" applyFont="1">
      <alignment horizontal="center" readingOrder="0"/>
    </xf>
    <xf borderId="9" fillId="0" fontId="2" numFmtId="0" xfId="0" applyBorder="1" applyFont="1"/>
    <xf borderId="8" fillId="12" fontId="5" numFmtId="0" xfId="0" applyAlignment="1" applyBorder="1" applyFont="1">
      <alignment horizontal="center" readingOrder="0" vertical="center"/>
    </xf>
    <xf borderId="5" fillId="12" fontId="10" numFmtId="0" xfId="0" applyAlignment="1" applyBorder="1" applyFont="1">
      <alignment horizontal="center" readingOrder="0"/>
    </xf>
    <xf borderId="6" fillId="16" fontId="5" numFmtId="0" xfId="0" applyAlignment="1" applyBorder="1" applyFont="1">
      <alignment horizontal="center" readingOrder="0"/>
    </xf>
    <xf borderId="6" fillId="6" fontId="4" numFmtId="1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center"/>
    </xf>
    <xf borderId="6" fillId="6" fontId="4" numFmtId="0" xfId="0" applyAlignment="1" applyBorder="1" applyFont="1">
      <alignment horizontal="center" readingOrder="0" vertical="bottom"/>
    </xf>
    <xf borderId="6" fillId="6" fontId="4" numFmtId="164" xfId="0" applyAlignment="1" applyBorder="1" applyFont="1" applyNumberFormat="1">
      <alignment horizontal="center" readingOrder="0" vertical="bottom"/>
    </xf>
    <xf borderId="6" fillId="6" fontId="4" numFmtId="167" xfId="0" applyAlignment="1" applyBorder="1" applyFont="1" applyNumberFormat="1">
      <alignment horizontal="center"/>
    </xf>
    <xf borderId="6" fillId="6" fontId="5" numFmtId="0" xfId="0" applyAlignment="1" applyBorder="1" applyFont="1">
      <alignment horizontal="center" readingOrder="0"/>
    </xf>
    <xf borderId="6" fillId="6" fontId="5" numFmtId="0" xfId="0" applyAlignment="1" applyBorder="1" applyFont="1">
      <alignment horizontal="center"/>
    </xf>
    <xf borderId="6" fillId="14" fontId="5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17" fontId="4" numFmtId="0" xfId="0" applyAlignment="1" applyBorder="1" applyFill="1" applyFont="1">
      <alignment horizontal="center" readingOrder="0" vertical="center"/>
    </xf>
    <xf borderId="3" fillId="17" fontId="4" numFmtId="0" xfId="0" applyAlignment="1" applyBorder="1" applyFont="1">
      <alignment horizontal="center" readingOrder="0" vertical="bottom"/>
    </xf>
    <xf borderId="3" fillId="17" fontId="4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3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center"/>
    </xf>
    <xf borderId="0" fillId="14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4.88"/>
    <col customWidth="1" min="3" max="3" width="15.0"/>
    <col customWidth="1" min="4" max="4" width="13.63"/>
    <col customWidth="1" min="5" max="5" width="16.25"/>
    <col customWidth="1" min="6" max="6" width="16.75"/>
    <col customWidth="1" min="7" max="7" width="13.25"/>
    <col customWidth="1" min="8" max="8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6" t="s">
        <v>9</v>
      </c>
      <c r="J2" s="6" t="s">
        <v>10</v>
      </c>
    </row>
    <row r="3">
      <c r="A3" s="7">
        <v>1.0</v>
      </c>
      <c r="B3" s="8">
        <v>16.5</v>
      </c>
      <c r="C3" s="8">
        <v>8.0</v>
      </c>
      <c r="D3" s="8">
        <v>8.5</v>
      </c>
      <c r="E3" s="8" t="s">
        <v>11</v>
      </c>
      <c r="F3" s="8">
        <v>0.3</v>
      </c>
      <c r="G3" s="8">
        <v>6.0</v>
      </c>
      <c r="H3" s="8">
        <v>4.0</v>
      </c>
      <c r="I3" s="8">
        <v>2.0</v>
      </c>
      <c r="J3" s="8">
        <v>12.0</v>
      </c>
    </row>
    <row r="4">
      <c r="A4" s="7">
        <v>2.0</v>
      </c>
      <c r="B4" s="8">
        <v>15.0</v>
      </c>
      <c r="C4" s="8">
        <v>7.0</v>
      </c>
      <c r="D4" s="8">
        <v>8.0</v>
      </c>
      <c r="E4" s="8" t="s">
        <v>12</v>
      </c>
      <c r="F4" s="8">
        <v>0.3</v>
      </c>
      <c r="G4" s="8">
        <v>5.0</v>
      </c>
      <c r="H4" s="8">
        <v>3.0</v>
      </c>
      <c r="I4" s="8">
        <v>2.0</v>
      </c>
      <c r="J4" s="8">
        <v>12.0</v>
      </c>
    </row>
    <row r="5">
      <c r="A5" s="7">
        <v>3.0</v>
      </c>
      <c r="B5" s="8">
        <v>16.0</v>
      </c>
      <c r="C5" s="8">
        <v>8.0</v>
      </c>
      <c r="D5" s="8">
        <v>8.0</v>
      </c>
      <c r="E5" s="8" t="s">
        <v>13</v>
      </c>
      <c r="F5" s="8">
        <v>0.4</v>
      </c>
      <c r="G5" s="8">
        <v>6.0</v>
      </c>
      <c r="H5" s="8">
        <v>3.0</v>
      </c>
      <c r="I5" s="8">
        <v>3.0</v>
      </c>
      <c r="J5" s="8">
        <v>12.0</v>
      </c>
    </row>
    <row r="6">
      <c r="A6" s="7">
        <v>4.0</v>
      </c>
      <c r="B6" s="8">
        <v>12.5</v>
      </c>
      <c r="C6" s="8">
        <v>6.0</v>
      </c>
      <c r="D6" s="8">
        <v>6.5</v>
      </c>
      <c r="E6" s="8" t="s">
        <v>14</v>
      </c>
      <c r="F6" s="8">
        <v>0.4</v>
      </c>
      <c r="G6" s="8">
        <v>5.0</v>
      </c>
      <c r="H6" s="8">
        <v>4.0</v>
      </c>
      <c r="I6" s="8">
        <v>1.0</v>
      </c>
      <c r="J6" s="8">
        <v>10.0</v>
      </c>
    </row>
    <row r="7">
      <c r="A7" s="7">
        <v>5.0</v>
      </c>
      <c r="B7" s="8">
        <v>13.5</v>
      </c>
      <c r="C7" s="8">
        <v>6.0</v>
      </c>
      <c r="D7" s="8">
        <v>7.5</v>
      </c>
      <c r="E7" s="8" t="s">
        <v>15</v>
      </c>
      <c r="F7" s="8">
        <v>0.3</v>
      </c>
      <c r="G7" s="8">
        <v>4.0</v>
      </c>
      <c r="H7" s="8">
        <v>3.0</v>
      </c>
      <c r="I7" s="8">
        <v>1.0</v>
      </c>
      <c r="J7" s="8">
        <v>11.0</v>
      </c>
    </row>
    <row r="8">
      <c r="A8" s="7">
        <v>6.0</v>
      </c>
      <c r="B8" s="8">
        <v>14.5</v>
      </c>
      <c r="C8" s="8">
        <v>5.5</v>
      </c>
      <c r="D8" s="8">
        <v>9.0</v>
      </c>
      <c r="E8" s="8" t="s">
        <v>16</v>
      </c>
      <c r="F8" s="8">
        <v>0.3</v>
      </c>
      <c r="G8" s="8">
        <v>5.0</v>
      </c>
      <c r="H8" s="8">
        <v>3.0</v>
      </c>
      <c r="I8" s="8">
        <v>2.0</v>
      </c>
      <c r="J8" s="8">
        <v>11.0</v>
      </c>
    </row>
    <row r="9">
      <c r="A9" s="7">
        <v>7.0</v>
      </c>
      <c r="B9" s="8">
        <v>13.0</v>
      </c>
      <c r="C9" s="8">
        <v>5.5</v>
      </c>
      <c r="D9" s="8">
        <v>7.5</v>
      </c>
      <c r="E9" s="8" t="s">
        <v>17</v>
      </c>
      <c r="F9" s="8">
        <v>0.4</v>
      </c>
      <c r="G9" s="8">
        <v>5.0</v>
      </c>
      <c r="H9" s="8">
        <v>3.0</v>
      </c>
      <c r="I9" s="8">
        <v>2.0</v>
      </c>
      <c r="J9" s="8">
        <v>10.0</v>
      </c>
    </row>
    <row r="10">
      <c r="A10" s="7">
        <v>8.0</v>
      </c>
      <c r="B10" s="8">
        <v>14.5</v>
      </c>
      <c r="C10" s="8">
        <v>5.5</v>
      </c>
      <c r="D10" s="8">
        <v>9.0</v>
      </c>
      <c r="E10" s="8" t="s">
        <v>18</v>
      </c>
      <c r="F10" s="8">
        <v>0.3</v>
      </c>
      <c r="G10" s="8">
        <v>4.0</v>
      </c>
      <c r="H10" s="8">
        <v>2.0</v>
      </c>
      <c r="I10" s="8">
        <v>2.0</v>
      </c>
      <c r="J10" s="8">
        <v>10.0</v>
      </c>
    </row>
    <row r="11">
      <c r="A11" s="7">
        <v>9.0</v>
      </c>
      <c r="B11" s="8">
        <v>16.0</v>
      </c>
      <c r="C11" s="8">
        <v>6.0</v>
      </c>
      <c r="D11" s="8">
        <v>10.0</v>
      </c>
      <c r="E11" s="8" t="s">
        <v>19</v>
      </c>
      <c r="F11" s="8">
        <v>0.3</v>
      </c>
      <c r="G11" s="8">
        <v>4.0</v>
      </c>
      <c r="H11" s="8">
        <v>3.0</v>
      </c>
      <c r="I11" s="8">
        <v>1.0</v>
      </c>
      <c r="J11" s="8">
        <v>12.0</v>
      </c>
    </row>
    <row r="12">
      <c r="A12" s="7">
        <v>10.0</v>
      </c>
      <c r="B12" s="8">
        <v>13.0</v>
      </c>
      <c r="C12" s="8">
        <v>5.5</v>
      </c>
      <c r="D12" s="8">
        <v>7.5</v>
      </c>
      <c r="E12" s="8" t="s">
        <v>20</v>
      </c>
      <c r="F12" s="8">
        <v>0.4</v>
      </c>
      <c r="G12" s="8">
        <v>4.0</v>
      </c>
      <c r="H12" s="8">
        <v>2.0</v>
      </c>
      <c r="I12" s="8">
        <v>2.0</v>
      </c>
      <c r="J12" s="8">
        <v>13.0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9"/>
      <c r="B1" s="10"/>
      <c r="C1" s="11" t="s">
        <v>21</v>
      </c>
      <c r="D1" s="12"/>
      <c r="E1" s="12"/>
      <c r="F1" s="12"/>
      <c r="G1" s="9"/>
      <c r="H1" s="13"/>
      <c r="I1" s="14" t="s">
        <v>22</v>
      </c>
    </row>
    <row r="2">
      <c r="A2" s="15" t="s">
        <v>23</v>
      </c>
      <c r="B2" s="15" t="s">
        <v>24</v>
      </c>
      <c r="C2" s="16" t="s">
        <v>25</v>
      </c>
      <c r="D2" s="16" t="s">
        <v>26</v>
      </c>
      <c r="E2" s="16" t="s">
        <v>27</v>
      </c>
      <c r="F2" s="16" t="s">
        <v>28</v>
      </c>
      <c r="G2" s="15" t="s">
        <v>23</v>
      </c>
      <c r="H2" s="15" t="s">
        <v>24</v>
      </c>
      <c r="I2" s="16" t="s">
        <v>29</v>
      </c>
      <c r="J2" s="16" t="s">
        <v>30</v>
      </c>
      <c r="K2" s="16" t="s">
        <v>31</v>
      </c>
    </row>
    <row r="3">
      <c r="A3" s="17" t="s">
        <v>32</v>
      </c>
      <c r="B3" s="9"/>
      <c r="G3" s="18">
        <v>45431.0</v>
      </c>
      <c r="H3" s="19">
        <v>0.7083333333333334</v>
      </c>
      <c r="I3" s="20">
        <v>51.62</v>
      </c>
      <c r="J3" s="20">
        <v>24.81</v>
      </c>
      <c r="K3" s="20">
        <v>415.25</v>
      </c>
    </row>
    <row r="4">
      <c r="A4" s="9"/>
      <c r="B4" s="9"/>
      <c r="G4" s="21">
        <v>45431.0</v>
      </c>
      <c r="H4" s="22">
        <v>0.75</v>
      </c>
      <c r="I4" s="23">
        <v>53.18</v>
      </c>
      <c r="J4" s="23">
        <v>23.45</v>
      </c>
      <c r="K4" s="23">
        <v>415.76</v>
      </c>
    </row>
    <row r="5">
      <c r="A5" s="9"/>
      <c r="B5" s="9"/>
      <c r="G5" s="21">
        <v>45431.0</v>
      </c>
      <c r="H5" s="22">
        <v>0.7916666666666666</v>
      </c>
      <c r="I5" s="23">
        <v>54.38</v>
      </c>
      <c r="J5" s="23">
        <v>24.87</v>
      </c>
      <c r="K5" s="23">
        <v>424.68</v>
      </c>
    </row>
    <row r="6">
      <c r="A6" s="9"/>
      <c r="B6" s="9"/>
      <c r="G6" s="21">
        <v>45431.0</v>
      </c>
      <c r="H6" s="22">
        <v>0.8333333333333334</v>
      </c>
      <c r="I6" s="23">
        <v>55.19</v>
      </c>
      <c r="J6" s="23">
        <v>25.29</v>
      </c>
      <c r="K6" s="23">
        <v>432.47</v>
      </c>
    </row>
    <row r="7">
      <c r="A7" s="9"/>
      <c r="B7" s="9"/>
      <c r="G7" s="21">
        <v>45431.0</v>
      </c>
      <c r="H7" s="22">
        <v>0.875</v>
      </c>
      <c r="I7" s="23">
        <v>57.2</v>
      </c>
      <c r="J7" s="23">
        <v>25.28</v>
      </c>
      <c r="K7" s="23">
        <v>435.42</v>
      </c>
    </row>
    <row r="8">
      <c r="A8" s="9"/>
      <c r="B8" s="9"/>
      <c r="G8" s="21">
        <v>45431.0</v>
      </c>
      <c r="H8" s="22">
        <v>0.9166666666666666</v>
      </c>
      <c r="I8" s="23">
        <v>57.14</v>
      </c>
      <c r="J8" s="23">
        <v>26.22</v>
      </c>
      <c r="K8" s="23">
        <v>442.3</v>
      </c>
    </row>
    <row r="9">
      <c r="A9" s="9"/>
      <c r="B9" s="9"/>
      <c r="G9" s="21">
        <v>45431.0</v>
      </c>
      <c r="H9" s="22">
        <v>0.9583333333333334</v>
      </c>
      <c r="I9" s="23">
        <v>58.13</v>
      </c>
      <c r="J9" s="23">
        <v>25.43</v>
      </c>
      <c r="K9" s="23">
        <v>446.62</v>
      </c>
    </row>
    <row r="10">
      <c r="A10" s="9"/>
      <c r="B10" s="9"/>
      <c r="G10" s="21">
        <v>45432.0</v>
      </c>
      <c r="H10" s="22">
        <v>0.0</v>
      </c>
      <c r="I10" s="23">
        <v>59.27</v>
      </c>
      <c r="J10" s="23">
        <v>24.76</v>
      </c>
      <c r="K10" s="23">
        <v>450.36</v>
      </c>
    </row>
    <row r="11">
      <c r="A11" s="9"/>
      <c r="B11" s="9"/>
      <c r="G11" s="21">
        <v>45432.0</v>
      </c>
      <c r="H11" s="22">
        <v>0.041666666666666664</v>
      </c>
      <c r="I11" s="23">
        <v>59.87</v>
      </c>
      <c r="J11" s="23">
        <v>24.4</v>
      </c>
      <c r="K11" s="23">
        <v>450.98</v>
      </c>
    </row>
    <row r="12">
      <c r="A12" s="9"/>
      <c r="B12" s="9"/>
      <c r="G12" s="21">
        <v>45432.0</v>
      </c>
      <c r="H12" s="22">
        <v>0.08333333333333333</v>
      </c>
      <c r="I12" s="23">
        <v>60.43</v>
      </c>
      <c r="J12" s="23">
        <v>24.18</v>
      </c>
      <c r="K12" s="23">
        <v>456.18</v>
      </c>
    </row>
    <row r="13">
      <c r="A13" s="9"/>
      <c r="B13" s="9"/>
      <c r="G13" s="21">
        <v>45432.0</v>
      </c>
      <c r="H13" s="22">
        <v>0.125</v>
      </c>
      <c r="I13" s="23">
        <v>60.61</v>
      </c>
      <c r="J13" s="23">
        <v>24.1</v>
      </c>
      <c r="K13" s="23">
        <v>452.22</v>
      </c>
    </row>
    <row r="14">
      <c r="A14" s="9"/>
      <c r="B14" s="9"/>
      <c r="G14" s="21">
        <v>45432.0</v>
      </c>
      <c r="H14" s="22">
        <v>0.16666666666666666</v>
      </c>
      <c r="I14" s="23">
        <v>61.09</v>
      </c>
      <c r="J14" s="23">
        <v>23.72</v>
      </c>
      <c r="K14" s="23">
        <v>446.14</v>
      </c>
    </row>
    <row r="15">
      <c r="A15" s="9"/>
      <c r="B15" s="9"/>
      <c r="G15" s="21">
        <v>45432.0</v>
      </c>
      <c r="H15" s="22">
        <v>0.20833333333333334</v>
      </c>
      <c r="I15" s="23">
        <v>61.7</v>
      </c>
      <c r="J15" s="23">
        <v>23.21</v>
      </c>
      <c r="K15" s="23">
        <v>451.14</v>
      </c>
    </row>
    <row r="16">
      <c r="A16" s="9"/>
      <c r="B16" s="9"/>
      <c r="G16" s="21">
        <v>45432.0</v>
      </c>
      <c r="H16" s="22">
        <v>0.25</v>
      </c>
      <c r="I16" s="23">
        <v>62.32</v>
      </c>
      <c r="J16" s="23">
        <v>23.59</v>
      </c>
      <c r="K16" s="23">
        <v>464.61</v>
      </c>
    </row>
    <row r="17">
      <c r="A17" s="9"/>
      <c r="B17" s="9"/>
      <c r="G17" s="21">
        <v>45432.0</v>
      </c>
      <c r="H17" s="22">
        <v>0.2916666666666667</v>
      </c>
      <c r="I17" s="23">
        <v>60.77</v>
      </c>
      <c r="J17" s="23">
        <v>26.07</v>
      </c>
      <c r="K17" s="23">
        <v>478.48</v>
      </c>
    </row>
    <row r="18">
      <c r="A18" s="9"/>
      <c r="B18" s="9"/>
      <c r="G18" s="21">
        <v>45432.0</v>
      </c>
      <c r="H18" s="22">
        <v>0.3333333333333333</v>
      </c>
      <c r="I18" s="23">
        <v>58.94</v>
      </c>
      <c r="J18" s="23">
        <v>24.3</v>
      </c>
      <c r="K18" s="23">
        <v>455.41</v>
      </c>
    </row>
    <row r="19">
      <c r="A19" s="9"/>
      <c r="B19" s="9"/>
      <c r="G19" s="21">
        <v>45432.0</v>
      </c>
      <c r="H19" s="22">
        <v>0.375</v>
      </c>
      <c r="I19" s="23">
        <v>57.44</v>
      </c>
      <c r="J19" s="23">
        <v>25.44</v>
      </c>
      <c r="K19" s="23">
        <v>452.32</v>
      </c>
    </row>
    <row r="20">
      <c r="A20" s="9"/>
      <c r="B20" s="9"/>
      <c r="G20" s="21">
        <v>45432.0</v>
      </c>
      <c r="H20" s="22">
        <v>0.4166666666666667</v>
      </c>
      <c r="I20" s="23">
        <v>54.63</v>
      </c>
      <c r="J20" s="23">
        <v>27.62</v>
      </c>
      <c r="K20" s="23">
        <v>447.41</v>
      </c>
    </row>
    <row r="21">
      <c r="A21" s="9"/>
      <c r="B21" s="9"/>
      <c r="G21" s="21">
        <v>45432.0</v>
      </c>
      <c r="H21" s="22">
        <v>0.4583333333333333</v>
      </c>
      <c r="I21" s="23">
        <v>52.91</v>
      </c>
      <c r="J21" s="23">
        <v>27.75</v>
      </c>
      <c r="K21" s="23">
        <v>439.5</v>
      </c>
    </row>
    <row r="22">
      <c r="A22" s="9"/>
      <c r="B22" s="9"/>
      <c r="G22" s="21">
        <v>45432.0</v>
      </c>
      <c r="H22" s="22">
        <v>0.5</v>
      </c>
      <c r="I22" s="23">
        <v>51.48</v>
      </c>
      <c r="J22" s="23">
        <v>29.2</v>
      </c>
      <c r="K22" s="23">
        <v>436.33</v>
      </c>
    </row>
    <row r="23">
      <c r="A23" s="9"/>
      <c r="B23" s="9"/>
      <c r="G23" s="21">
        <v>45432.0</v>
      </c>
      <c r="H23" s="22">
        <v>0.5416666666666666</v>
      </c>
      <c r="I23" s="23">
        <v>49.64</v>
      </c>
      <c r="J23" s="23">
        <v>29.4</v>
      </c>
      <c r="K23" s="23">
        <v>433.93</v>
      </c>
    </row>
    <row r="24">
      <c r="A24" s="9"/>
      <c r="B24" s="9"/>
      <c r="G24" s="21">
        <v>45432.0</v>
      </c>
      <c r="H24" s="22">
        <v>0.5833333333333334</v>
      </c>
      <c r="I24" s="23">
        <v>49.59</v>
      </c>
      <c r="J24" s="23">
        <v>29.56</v>
      </c>
      <c r="K24" s="23">
        <v>426.7</v>
      </c>
    </row>
    <row r="25">
      <c r="A25" s="9"/>
      <c r="B25" s="9"/>
      <c r="G25" s="21">
        <v>45432.0</v>
      </c>
      <c r="H25" s="22">
        <v>0.625</v>
      </c>
      <c r="I25" s="23">
        <v>50.01</v>
      </c>
      <c r="J25" s="23">
        <v>28.27</v>
      </c>
      <c r="K25" s="23">
        <v>415.42</v>
      </c>
    </row>
    <row r="26">
      <c r="A26" s="9"/>
      <c r="B26" s="9"/>
      <c r="G26" s="21">
        <v>45432.0</v>
      </c>
      <c r="H26" s="22">
        <v>0.6666666666666666</v>
      </c>
      <c r="I26" s="23">
        <v>51.46</v>
      </c>
      <c r="J26" s="23">
        <v>27.01</v>
      </c>
      <c r="K26" s="23">
        <v>408.65</v>
      </c>
    </row>
    <row r="27">
      <c r="A27" s="9"/>
      <c r="B27" s="9"/>
      <c r="G27" s="21">
        <v>45432.0</v>
      </c>
      <c r="H27" s="22">
        <v>0.7083333333333334</v>
      </c>
      <c r="I27" s="23">
        <v>53.37</v>
      </c>
      <c r="J27" s="23">
        <v>26.03</v>
      </c>
      <c r="K27" s="23">
        <v>409.06</v>
      </c>
    </row>
    <row r="28">
      <c r="A28" s="9"/>
      <c r="B28" s="9"/>
      <c r="G28" s="21">
        <v>45432.0</v>
      </c>
      <c r="H28" s="22">
        <v>0.75</v>
      </c>
      <c r="I28" s="23">
        <v>55.69</v>
      </c>
      <c r="J28" s="23">
        <v>24.82</v>
      </c>
      <c r="K28" s="23">
        <v>419.31</v>
      </c>
    </row>
    <row r="29">
      <c r="A29" s="9"/>
      <c r="B29" s="9"/>
      <c r="G29" s="21">
        <v>45432.0</v>
      </c>
      <c r="H29" s="22">
        <v>0.7916666666666666</v>
      </c>
      <c r="I29" s="23">
        <v>56.7</v>
      </c>
      <c r="J29" s="23">
        <v>24.87</v>
      </c>
      <c r="K29" s="23">
        <v>424.11</v>
      </c>
    </row>
    <row r="30">
      <c r="A30" s="9"/>
      <c r="B30" s="9"/>
      <c r="G30" s="21">
        <v>45432.0</v>
      </c>
      <c r="H30" s="22">
        <v>0.8333333333333334</v>
      </c>
      <c r="I30" s="23">
        <v>56.53</v>
      </c>
      <c r="J30" s="23">
        <v>26.87</v>
      </c>
      <c r="K30" s="23">
        <v>426.73</v>
      </c>
    </row>
    <row r="31">
      <c r="A31" s="9"/>
      <c r="B31" s="9"/>
      <c r="G31" s="21">
        <v>45432.0</v>
      </c>
      <c r="H31" s="22">
        <v>0.875</v>
      </c>
      <c r="I31" s="23">
        <v>57.07</v>
      </c>
      <c r="J31" s="23">
        <v>26.6</v>
      </c>
      <c r="K31" s="23">
        <v>431.16</v>
      </c>
    </row>
    <row r="32">
      <c r="A32" s="9"/>
      <c r="B32" s="9"/>
      <c r="G32" s="21">
        <v>45432.0</v>
      </c>
      <c r="H32" s="22">
        <v>0.9166666666666666</v>
      </c>
      <c r="I32" s="23">
        <v>58.34</v>
      </c>
      <c r="J32" s="23">
        <v>25.78</v>
      </c>
      <c r="K32" s="23">
        <v>439.95</v>
      </c>
    </row>
    <row r="33">
      <c r="A33" s="9"/>
      <c r="B33" s="9"/>
      <c r="G33" s="21">
        <v>45432.0</v>
      </c>
      <c r="H33" s="22">
        <v>0.9583333333333334</v>
      </c>
      <c r="I33" s="23">
        <v>59.15</v>
      </c>
      <c r="J33" s="23">
        <v>25.32</v>
      </c>
      <c r="K33" s="23">
        <v>450.68</v>
      </c>
    </row>
    <row r="34">
      <c r="A34" s="9"/>
      <c r="B34" s="9"/>
      <c r="G34" s="21">
        <v>45433.0</v>
      </c>
      <c r="H34" s="22">
        <v>0.0</v>
      </c>
      <c r="I34" s="23">
        <v>59.66</v>
      </c>
      <c r="J34" s="23">
        <v>24.89</v>
      </c>
      <c r="K34" s="23">
        <v>453.4</v>
      </c>
    </row>
    <row r="35">
      <c r="A35" s="9"/>
      <c r="B35" s="9"/>
      <c r="G35" s="21">
        <v>45433.0</v>
      </c>
      <c r="H35" s="22">
        <v>0.041666666666666664</v>
      </c>
      <c r="I35" s="23">
        <v>60.51</v>
      </c>
      <c r="J35" s="23">
        <v>24.36</v>
      </c>
      <c r="K35" s="23">
        <v>452.42</v>
      </c>
    </row>
    <row r="36">
      <c r="A36" s="9"/>
      <c r="B36" s="9"/>
      <c r="G36" s="21">
        <v>45433.0</v>
      </c>
      <c r="H36" s="22">
        <v>0.08333333333333333</v>
      </c>
      <c r="I36" s="23">
        <v>61.8</v>
      </c>
      <c r="J36" s="23">
        <v>23.64</v>
      </c>
      <c r="K36" s="23">
        <v>456.39</v>
      </c>
    </row>
    <row r="37">
      <c r="A37" s="9"/>
      <c r="B37" s="9"/>
      <c r="G37" s="21">
        <v>45433.0</v>
      </c>
      <c r="H37" s="22">
        <v>0.125</v>
      </c>
      <c r="I37" s="23">
        <v>62.67</v>
      </c>
      <c r="J37" s="23">
        <v>23.22</v>
      </c>
      <c r="K37" s="23">
        <v>467.41</v>
      </c>
    </row>
    <row r="38">
      <c r="A38" s="9"/>
      <c r="B38" s="9"/>
      <c r="G38" s="21">
        <v>45433.0</v>
      </c>
      <c r="H38" s="22">
        <v>0.16666666666666666</v>
      </c>
      <c r="I38" s="23">
        <v>62.97</v>
      </c>
      <c r="J38" s="23">
        <v>23.01</v>
      </c>
      <c r="K38" s="23">
        <v>474.62</v>
      </c>
    </row>
    <row r="39">
      <c r="A39" s="9"/>
      <c r="B39" s="9"/>
      <c r="G39" s="21">
        <v>45433.0</v>
      </c>
      <c r="H39" s="22">
        <v>0.20833333333333334</v>
      </c>
      <c r="I39" s="23">
        <v>63.64</v>
      </c>
      <c r="J39" s="23">
        <v>22.29</v>
      </c>
      <c r="K39" s="23">
        <v>476.89</v>
      </c>
    </row>
    <row r="40">
      <c r="A40" s="9"/>
      <c r="B40" s="9"/>
      <c r="G40" s="21">
        <v>45433.0</v>
      </c>
      <c r="H40" s="22">
        <v>0.25</v>
      </c>
      <c r="I40" s="23">
        <v>64.22</v>
      </c>
      <c r="J40" s="23">
        <v>22.81</v>
      </c>
      <c r="K40" s="23">
        <v>483.94</v>
      </c>
    </row>
    <row r="41">
      <c r="A41" s="9"/>
      <c r="B41" s="9"/>
      <c r="G41" s="21">
        <v>45433.0</v>
      </c>
      <c r="H41" s="22">
        <v>0.2916666666666667</v>
      </c>
      <c r="I41" s="23">
        <v>62.92</v>
      </c>
      <c r="J41" s="23">
        <v>26.0</v>
      </c>
      <c r="K41" s="23">
        <v>484.33</v>
      </c>
    </row>
    <row r="42">
      <c r="A42" s="9"/>
      <c r="B42" s="9"/>
      <c r="G42" s="21">
        <v>45433.0</v>
      </c>
      <c r="H42" s="22">
        <v>0.3333333333333333</v>
      </c>
      <c r="I42" s="23">
        <v>61.71</v>
      </c>
      <c r="J42" s="23">
        <v>23.87</v>
      </c>
      <c r="K42" s="23">
        <v>469.09</v>
      </c>
    </row>
    <row r="43">
      <c r="A43" s="9"/>
      <c r="B43" s="9"/>
      <c r="G43" s="21">
        <v>45433.0</v>
      </c>
      <c r="H43" s="22">
        <v>0.375</v>
      </c>
      <c r="I43" s="23">
        <v>59.58</v>
      </c>
      <c r="J43" s="23">
        <v>24.74</v>
      </c>
      <c r="K43" s="23">
        <v>456.84</v>
      </c>
    </row>
    <row r="44">
      <c r="A44" s="9"/>
      <c r="B44" s="9"/>
      <c r="G44" s="21">
        <v>45433.0</v>
      </c>
      <c r="H44" s="22">
        <v>0.4166666666666667</v>
      </c>
      <c r="I44" s="23">
        <v>56.85</v>
      </c>
      <c r="J44" s="23">
        <v>27.24</v>
      </c>
      <c r="K44" s="23">
        <v>457.03</v>
      </c>
    </row>
    <row r="45">
      <c r="A45" s="9"/>
      <c r="B45" s="9"/>
      <c r="G45" s="21">
        <v>45433.0</v>
      </c>
      <c r="H45" s="22">
        <v>0.4583333333333333</v>
      </c>
      <c r="I45" s="23">
        <v>55.41</v>
      </c>
      <c r="J45" s="23">
        <v>26.26</v>
      </c>
      <c r="K45" s="23">
        <v>445.84</v>
      </c>
    </row>
    <row r="46">
      <c r="A46" s="9"/>
      <c r="B46" s="9"/>
      <c r="G46" s="21">
        <v>45433.0</v>
      </c>
      <c r="H46" s="22">
        <v>0.5</v>
      </c>
      <c r="I46" s="23">
        <v>54.91</v>
      </c>
      <c r="J46" s="23">
        <v>26.93</v>
      </c>
      <c r="K46" s="23">
        <v>437.78</v>
      </c>
    </row>
    <row r="47">
      <c r="A47" s="9"/>
      <c r="B47" s="9"/>
      <c r="G47" s="21">
        <v>45433.0</v>
      </c>
      <c r="H47" s="22">
        <v>0.5416666666666666</v>
      </c>
      <c r="I47" s="23">
        <v>53.52</v>
      </c>
      <c r="J47" s="23">
        <v>27.59</v>
      </c>
      <c r="K47" s="23">
        <v>433.96</v>
      </c>
    </row>
    <row r="48">
      <c r="A48" s="9"/>
      <c r="B48" s="9"/>
      <c r="G48" s="21">
        <v>45433.0</v>
      </c>
      <c r="H48" s="22">
        <v>0.5833333333333334</v>
      </c>
      <c r="I48" s="23">
        <v>53.42</v>
      </c>
      <c r="J48" s="23">
        <v>27.65</v>
      </c>
      <c r="K48" s="23">
        <v>426.63</v>
      </c>
    </row>
    <row r="49">
      <c r="A49" s="9"/>
      <c r="B49" s="9"/>
      <c r="G49" s="21">
        <v>45433.0</v>
      </c>
      <c r="H49" s="22">
        <v>0.625</v>
      </c>
      <c r="I49" s="23">
        <v>54.14</v>
      </c>
      <c r="J49" s="23">
        <v>26.95</v>
      </c>
      <c r="K49" s="23">
        <v>427.28</v>
      </c>
    </row>
    <row r="50">
      <c r="A50" s="9"/>
      <c r="B50" s="9"/>
      <c r="G50" s="21">
        <v>45433.0</v>
      </c>
      <c r="H50" s="22">
        <v>0.6666666666666666</v>
      </c>
      <c r="I50" s="23">
        <v>55.37</v>
      </c>
      <c r="J50" s="23">
        <v>26.19</v>
      </c>
      <c r="K50" s="23">
        <v>428.56</v>
      </c>
    </row>
    <row r="51">
      <c r="A51" s="9"/>
      <c r="B51" s="9"/>
      <c r="G51" s="21">
        <v>45433.0</v>
      </c>
      <c r="H51" s="22">
        <v>0.7083333333333334</v>
      </c>
      <c r="I51" s="23">
        <v>56.69</v>
      </c>
      <c r="J51" s="23">
        <v>24.77</v>
      </c>
      <c r="K51" s="23">
        <v>428.63</v>
      </c>
    </row>
    <row r="52">
      <c r="A52" s="9"/>
      <c r="B52" s="9"/>
      <c r="G52" s="21">
        <v>45433.0</v>
      </c>
      <c r="H52" s="22">
        <v>0.75</v>
      </c>
      <c r="I52" s="23">
        <v>58.52</v>
      </c>
      <c r="J52" s="23">
        <v>23.75</v>
      </c>
      <c r="K52" s="23">
        <v>427.66</v>
      </c>
    </row>
    <row r="53">
      <c r="A53" s="9"/>
      <c r="B53" s="9"/>
      <c r="G53" s="21">
        <v>45433.0</v>
      </c>
      <c r="H53" s="22">
        <v>0.7916666666666666</v>
      </c>
      <c r="I53" s="23">
        <v>59.67</v>
      </c>
      <c r="J53" s="23">
        <v>24.19</v>
      </c>
      <c r="K53" s="23">
        <v>435.13</v>
      </c>
    </row>
    <row r="54">
      <c r="A54" s="9"/>
      <c r="B54" s="9"/>
      <c r="G54" s="21">
        <v>45433.0</v>
      </c>
      <c r="H54" s="22">
        <v>0.8333333333333334</v>
      </c>
      <c r="I54" s="23">
        <v>58.57</v>
      </c>
      <c r="J54" s="23">
        <v>27.7</v>
      </c>
      <c r="K54" s="23">
        <v>441.69</v>
      </c>
    </row>
    <row r="55">
      <c r="A55" s="9"/>
      <c r="B55" s="9"/>
      <c r="G55" s="21">
        <v>45433.0</v>
      </c>
      <c r="H55" s="22">
        <v>0.875</v>
      </c>
      <c r="I55" s="23">
        <v>58.83</v>
      </c>
      <c r="J55" s="23">
        <v>27.66</v>
      </c>
      <c r="K55" s="23">
        <v>445.33</v>
      </c>
    </row>
    <row r="56">
      <c r="A56" s="9"/>
      <c r="B56" s="9"/>
      <c r="G56" s="21">
        <v>45433.0</v>
      </c>
      <c r="H56" s="22">
        <v>0.9166666666666666</v>
      </c>
      <c r="I56" s="23">
        <v>60.35</v>
      </c>
      <c r="J56" s="23">
        <v>26.82</v>
      </c>
      <c r="K56" s="23">
        <v>447.65</v>
      </c>
    </row>
    <row r="57">
      <c r="A57" s="9"/>
      <c r="B57" s="9"/>
      <c r="G57" s="21">
        <v>45433.0</v>
      </c>
      <c r="H57" s="22">
        <v>0.9583333333333334</v>
      </c>
      <c r="I57" s="23">
        <v>61.62</v>
      </c>
      <c r="J57" s="23">
        <v>25.79</v>
      </c>
      <c r="K57" s="23">
        <v>450.4</v>
      </c>
    </row>
    <row r="58">
      <c r="A58" s="9"/>
      <c r="B58" s="9"/>
      <c r="G58" s="21">
        <v>45434.0</v>
      </c>
      <c r="H58" s="22">
        <v>0.0</v>
      </c>
      <c r="I58" s="23">
        <v>62.87</v>
      </c>
      <c r="J58" s="23">
        <v>25.4</v>
      </c>
      <c r="K58" s="23">
        <v>455.0</v>
      </c>
    </row>
    <row r="59">
      <c r="A59" s="9"/>
      <c r="B59" s="9"/>
      <c r="G59" s="21">
        <v>45434.0</v>
      </c>
      <c r="H59" s="22">
        <v>0.041666666666666664</v>
      </c>
      <c r="I59" s="23">
        <v>63.79</v>
      </c>
      <c r="J59" s="23">
        <v>24.83</v>
      </c>
      <c r="K59" s="23">
        <v>457.8</v>
      </c>
    </row>
    <row r="60">
      <c r="A60" s="9"/>
      <c r="B60" s="9"/>
      <c r="G60" s="21">
        <v>45434.0</v>
      </c>
      <c r="H60" s="22">
        <v>0.08333333333333333</v>
      </c>
      <c r="I60" s="23">
        <v>64.55</v>
      </c>
      <c r="J60" s="23">
        <v>24.35</v>
      </c>
      <c r="K60" s="23">
        <v>456.28</v>
      </c>
    </row>
    <row r="61">
      <c r="A61" s="9"/>
      <c r="B61" s="9"/>
      <c r="G61" s="21">
        <v>45434.0</v>
      </c>
      <c r="H61" s="22">
        <v>0.125</v>
      </c>
      <c r="I61" s="23">
        <v>65.51</v>
      </c>
      <c r="J61" s="23">
        <v>23.73</v>
      </c>
      <c r="K61" s="23">
        <v>458.1</v>
      </c>
    </row>
    <row r="62">
      <c r="A62" s="9"/>
      <c r="B62" s="9"/>
      <c r="G62" s="21">
        <v>45434.0</v>
      </c>
      <c r="H62" s="22">
        <v>0.16666666666666666</v>
      </c>
      <c r="I62" s="23">
        <v>66.16</v>
      </c>
      <c r="J62" s="23">
        <v>23.43</v>
      </c>
      <c r="K62" s="23">
        <v>460.87</v>
      </c>
    </row>
    <row r="63">
      <c r="A63" s="9"/>
      <c r="B63" s="9"/>
      <c r="G63" s="21">
        <v>45434.0</v>
      </c>
      <c r="H63" s="22">
        <v>0.20833333333333334</v>
      </c>
      <c r="I63" s="23">
        <v>66.83</v>
      </c>
      <c r="J63" s="23">
        <v>23.05</v>
      </c>
      <c r="K63" s="23">
        <v>466.58</v>
      </c>
    </row>
    <row r="64">
      <c r="A64" s="9"/>
      <c r="B64" s="9"/>
      <c r="G64" s="21">
        <v>45434.0</v>
      </c>
      <c r="H64" s="22">
        <v>0.25</v>
      </c>
      <c r="I64" s="23">
        <v>67.12</v>
      </c>
      <c r="J64" s="23">
        <v>23.53</v>
      </c>
      <c r="K64" s="23">
        <v>478.97</v>
      </c>
    </row>
    <row r="65">
      <c r="A65" s="9"/>
      <c r="B65" s="9"/>
      <c r="G65" s="21">
        <v>45434.0</v>
      </c>
      <c r="H65" s="22">
        <v>0.2916666666666667</v>
      </c>
      <c r="I65" s="23">
        <v>65.3</v>
      </c>
      <c r="J65" s="23">
        <v>26.06</v>
      </c>
      <c r="K65" s="23">
        <v>480.53</v>
      </c>
    </row>
    <row r="66">
      <c r="A66" s="9"/>
      <c r="B66" s="9"/>
      <c r="G66" s="21">
        <v>45434.0</v>
      </c>
      <c r="H66" s="22">
        <v>0.3333333333333333</v>
      </c>
      <c r="I66" s="23">
        <v>62.96</v>
      </c>
      <c r="J66" s="23">
        <v>25.3</v>
      </c>
      <c r="K66" s="23">
        <v>458.13</v>
      </c>
    </row>
    <row r="67">
      <c r="A67" s="9"/>
      <c r="B67" s="9"/>
      <c r="G67" s="21">
        <v>45434.0</v>
      </c>
      <c r="H67" s="22">
        <v>0.375</v>
      </c>
      <c r="I67" s="23">
        <v>61.27</v>
      </c>
      <c r="J67" s="23">
        <v>24.63</v>
      </c>
      <c r="K67" s="23">
        <v>447.4</v>
      </c>
    </row>
    <row r="68">
      <c r="A68" s="9"/>
      <c r="B68" s="9"/>
      <c r="G68" s="21">
        <v>45434.0</v>
      </c>
      <c r="H68" s="22">
        <v>0.4166666666666667</v>
      </c>
      <c r="I68" s="23">
        <v>58.98</v>
      </c>
      <c r="J68" s="23">
        <v>26.31</v>
      </c>
      <c r="K68" s="23">
        <v>442.47</v>
      </c>
    </row>
    <row r="69">
      <c r="A69" s="9"/>
      <c r="B69" s="9"/>
      <c r="G69" s="21">
        <v>45434.0</v>
      </c>
      <c r="H69" s="22">
        <v>0.4583333333333333</v>
      </c>
      <c r="I69" s="23">
        <v>56.6</v>
      </c>
      <c r="J69" s="23">
        <v>27.35</v>
      </c>
      <c r="K69" s="23">
        <v>437.36</v>
      </c>
    </row>
    <row r="70">
      <c r="A70" s="9"/>
      <c r="B70" s="9"/>
      <c r="G70" s="21">
        <v>45434.0</v>
      </c>
      <c r="H70" s="22">
        <v>0.5</v>
      </c>
      <c r="I70" s="23">
        <v>54.89</v>
      </c>
      <c r="J70" s="23">
        <v>28.88</v>
      </c>
      <c r="K70" s="23">
        <v>434.54</v>
      </c>
    </row>
    <row r="71">
      <c r="A71" s="9"/>
      <c r="B71" s="9"/>
      <c r="G71" s="21">
        <v>45434.0</v>
      </c>
      <c r="H71" s="22">
        <v>0.5416666666666666</v>
      </c>
      <c r="I71" s="23">
        <v>54.11</v>
      </c>
      <c r="J71" s="23">
        <v>28.69</v>
      </c>
      <c r="K71" s="23">
        <v>429.74</v>
      </c>
    </row>
    <row r="72">
      <c r="A72" s="9"/>
      <c r="B72" s="9"/>
      <c r="G72" s="21">
        <v>45434.0</v>
      </c>
      <c r="H72" s="22">
        <v>0.5833333333333334</v>
      </c>
      <c r="I72" s="23">
        <v>54.3</v>
      </c>
      <c r="J72" s="23">
        <v>28.33</v>
      </c>
      <c r="K72" s="23">
        <v>424.56</v>
      </c>
    </row>
    <row r="73">
      <c r="A73" s="9"/>
      <c r="B73" s="9"/>
      <c r="G73" s="21">
        <v>45434.0</v>
      </c>
      <c r="H73" s="22">
        <v>0.625</v>
      </c>
      <c r="I73" s="23">
        <v>54.88</v>
      </c>
      <c r="J73" s="23">
        <v>27.57</v>
      </c>
      <c r="K73" s="23">
        <v>422.58</v>
      </c>
    </row>
    <row r="74">
      <c r="A74" s="9"/>
      <c r="B74" s="9"/>
      <c r="G74" s="21">
        <v>45434.0</v>
      </c>
      <c r="H74" s="22">
        <v>0.6666666666666666</v>
      </c>
      <c r="I74" s="23">
        <v>56.02</v>
      </c>
      <c r="J74" s="23">
        <v>26.13</v>
      </c>
      <c r="K74" s="23">
        <v>424.39</v>
      </c>
    </row>
    <row r="75">
      <c r="A75" s="9"/>
      <c r="B75" s="9"/>
      <c r="G75" s="21">
        <v>45434.0</v>
      </c>
      <c r="H75" s="22">
        <v>0.7083333333333334</v>
      </c>
      <c r="I75" s="23">
        <v>57.46</v>
      </c>
      <c r="J75" s="23">
        <v>24.83</v>
      </c>
      <c r="K75" s="23">
        <v>423.31</v>
      </c>
    </row>
    <row r="76">
      <c r="A76" s="9"/>
      <c r="B76" s="9"/>
      <c r="G76" s="21">
        <v>45434.0</v>
      </c>
      <c r="H76" s="22">
        <v>0.75</v>
      </c>
      <c r="I76" s="23">
        <v>59.04</v>
      </c>
      <c r="J76" s="23">
        <v>23.99</v>
      </c>
      <c r="K76" s="23">
        <v>427.84</v>
      </c>
    </row>
    <row r="77">
      <c r="A77" s="9"/>
      <c r="B77" s="9"/>
      <c r="G77" s="21">
        <v>45434.0</v>
      </c>
      <c r="H77" s="22">
        <v>0.7916666666666666</v>
      </c>
      <c r="I77" s="23">
        <v>60.51</v>
      </c>
      <c r="J77" s="23">
        <v>23.51</v>
      </c>
      <c r="K77" s="23">
        <v>431.29</v>
      </c>
    </row>
    <row r="78">
      <c r="A78" s="9"/>
      <c r="B78" s="9"/>
      <c r="G78" s="21">
        <v>45434.0</v>
      </c>
      <c r="H78" s="22">
        <v>0.8333333333333334</v>
      </c>
      <c r="I78" s="23">
        <v>61.23</v>
      </c>
      <c r="J78" s="23">
        <v>25.33</v>
      </c>
      <c r="K78" s="23">
        <v>436.26</v>
      </c>
    </row>
    <row r="79">
      <c r="A79" s="9"/>
      <c r="B79" s="9"/>
      <c r="G79" s="21">
        <v>45434.0</v>
      </c>
      <c r="H79" s="22">
        <v>0.875</v>
      </c>
      <c r="I79" s="23">
        <v>60.84</v>
      </c>
      <c r="J79" s="23">
        <v>27.06</v>
      </c>
      <c r="K79" s="23">
        <v>443.12</v>
      </c>
    </row>
    <row r="80">
      <c r="A80" s="9"/>
      <c r="B80" s="9"/>
      <c r="G80" s="21">
        <v>45434.0</v>
      </c>
      <c r="H80" s="22">
        <v>0.9166666666666666</v>
      </c>
      <c r="I80" s="23">
        <v>61.69</v>
      </c>
      <c r="J80" s="23">
        <v>26.22</v>
      </c>
      <c r="K80" s="23">
        <v>446.09</v>
      </c>
    </row>
    <row r="81">
      <c r="A81" s="9"/>
      <c r="B81" s="9"/>
      <c r="G81" s="21">
        <v>45434.0</v>
      </c>
      <c r="H81" s="22">
        <v>0.9583333333333334</v>
      </c>
      <c r="I81" s="23">
        <v>62.57</v>
      </c>
      <c r="J81" s="23">
        <v>25.55</v>
      </c>
      <c r="K81" s="23">
        <v>450.09</v>
      </c>
    </row>
    <row r="82">
      <c r="A82" s="9"/>
      <c r="B82" s="9"/>
      <c r="G82" s="21">
        <v>45435.0</v>
      </c>
      <c r="H82" s="22">
        <v>0.0</v>
      </c>
      <c r="I82" s="23">
        <v>63.63</v>
      </c>
      <c r="J82" s="23">
        <v>25.06</v>
      </c>
      <c r="K82" s="23">
        <v>452.4</v>
      </c>
    </row>
    <row r="83">
      <c r="A83" s="9"/>
      <c r="B83" s="9"/>
      <c r="G83" s="21">
        <v>45435.0</v>
      </c>
      <c r="H83" s="22">
        <v>0.041666666666666664</v>
      </c>
      <c r="I83" s="23">
        <v>64.6</v>
      </c>
      <c r="J83" s="23">
        <v>24.47</v>
      </c>
      <c r="K83" s="23">
        <v>453.55</v>
      </c>
    </row>
    <row r="84">
      <c r="A84" s="9"/>
      <c r="B84" s="9"/>
      <c r="G84" s="21">
        <v>45435.0</v>
      </c>
      <c r="H84" s="22">
        <v>0.08333333333333333</v>
      </c>
      <c r="I84" s="23">
        <v>65.49</v>
      </c>
      <c r="J84" s="23">
        <v>23.9</v>
      </c>
      <c r="K84" s="23">
        <v>455.66</v>
      </c>
    </row>
    <row r="85">
      <c r="A85" s="9"/>
      <c r="B85" s="9"/>
      <c r="G85" s="21">
        <v>45435.0</v>
      </c>
      <c r="H85" s="22">
        <v>0.125</v>
      </c>
      <c r="I85" s="23">
        <v>66.23</v>
      </c>
      <c r="J85" s="23">
        <v>23.71</v>
      </c>
      <c r="K85" s="23">
        <v>461.03</v>
      </c>
    </row>
    <row r="86">
      <c r="A86" s="9"/>
      <c r="B86" s="9"/>
      <c r="G86" s="21">
        <v>45435.0</v>
      </c>
      <c r="H86" s="22">
        <v>0.16666666666666666</v>
      </c>
      <c r="I86" s="23">
        <v>66.74</v>
      </c>
      <c r="J86" s="23">
        <v>23.48</v>
      </c>
      <c r="K86" s="23">
        <v>462.62</v>
      </c>
    </row>
    <row r="87">
      <c r="A87" s="9"/>
      <c r="B87" s="9"/>
      <c r="G87" s="21">
        <v>45435.0</v>
      </c>
      <c r="H87" s="22">
        <v>0.20833333333333334</v>
      </c>
      <c r="I87" s="23">
        <v>67.18</v>
      </c>
      <c r="J87" s="23">
        <v>23.22</v>
      </c>
      <c r="K87" s="23">
        <v>468.5</v>
      </c>
    </row>
    <row r="88">
      <c r="A88" s="9"/>
      <c r="B88" s="9"/>
      <c r="G88" s="21">
        <v>45435.0</v>
      </c>
      <c r="H88" s="22">
        <v>0.25</v>
      </c>
      <c r="I88" s="23">
        <v>67.35</v>
      </c>
      <c r="J88" s="23">
        <v>23.98</v>
      </c>
      <c r="K88" s="23">
        <v>484.59</v>
      </c>
    </row>
    <row r="89">
      <c r="A89" s="9"/>
      <c r="B89" s="9"/>
      <c r="G89" s="21">
        <v>45435.0</v>
      </c>
      <c r="H89" s="22">
        <v>0.2916666666666667</v>
      </c>
      <c r="I89" s="23">
        <v>64.54</v>
      </c>
      <c r="J89" s="23">
        <v>26.31</v>
      </c>
      <c r="K89" s="23">
        <v>483.71</v>
      </c>
    </row>
    <row r="90">
      <c r="A90" s="9"/>
      <c r="B90" s="9"/>
      <c r="G90" s="21">
        <v>45435.0</v>
      </c>
      <c r="H90" s="22">
        <v>0.3333333333333333</v>
      </c>
      <c r="I90" s="23">
        <v>62.12</v>
      </c>
      <c r="J90" s="23">
        <v>25.48</v>
      </c>
      <c r="K90" s="23">
        <v>456.95</v>
      </c>
    </row>
    <row r="91">
      <c r="A91" s="9"/>
      <c r="B91" s="9"/>
      <c r="G91" s="21">
        <v>45435.0</v>
      </c>
      <c r="H91" s="22">
        <v>0.375</v>
      </c>
      <c r="I91" s="23">
        <v>60.25</v>
      </c>
      <c r="J91" s="23">
        <v>25.49</v>
      </c>
      <c r="K91" s="23">
        <v>446.46</v>
      </c>
    </row>
    <row r="92">
      <c r="A92" s="9"/>
      <c r="B92" s="9"/>
      <c r="G92" s="21">
        <v>45435.0</v>
      </c>
      <c r="H92" s="22">
        <v>0.4166666666666667</v>
      </c>
      <c r="I92" s="23">
        <v>58.77</v>
      </c>
      <c r="J92" s="23">
        <v>27.08</v>
      </c>
      <c r="K92" s="23">
        <v>448.88</v>
      </c>
    </row>
    <row r="93">
      <c r="A93" s="9"/>
      <c r="B93" s="9"/>
      <c r="G93" s="21">
        <v>45435.0</v>
      </c>
      <c r="H93" s="22">
        <v>0.4583333333333333</v>
      </c>
      <c r="I93" s="23">
        <v>56.7</v>
      </c>
      <c r="J93" s="23">
        <v>27.47</v>
      </c>
      <c r="K93" s="23">
        <v>443.77</v>
      </c>
    </row>
    <row r="94">
      <c r="A94" s="9"/>
      <c r="B94" s="9"/>
      <c r="G94" s="21">
        <v>45435.0</v>
      </c>
      <c r="H94" s="22">
        <v>0.5</v>
      </c>
      <c r="I94" s="23">
        <v>54.94</v>
      </c>
      <c r="J94" s="23">
        <v>28.05</v>
      </c>
      <c r="K94" s="23">
        <v>440.79</v>
      </c>
    </row>
    <row r="95">
      <c r="A95" s="9"/>
      <c r="B95" s="9"/>
      <c r="G95" s="21">
        <v>45435.0</v>
      </c>
      <c r="H95" s="22">
        <v>0.5416666666666666</v>
      </c>
      <c r="I95" s="23">
        <v>52.18</v>
      </c>
      <c r="J95" s="23">
        <v>30.39</v>
      </c>
      <c r="K95" s="23">
        <v>447.93</v>
      </c>
    </row>
    <row r="96">
      <c r="A96" s="9"/>
      <c r="B96" s="9"/>
      <c r="G96" s="21">
        <v>45435.0</v>
      </c>
      <c r="H96" s="22">
        <v>0.5833333333333334</v>
      </c>
      <c r="I96" s="23">
        <v>54.77</v>
      </c>
      <c r="J96" s="23">
        <v>27.05</v>
      </c>
      <c r="K96" s="23">
        <v>431.44</v>
      </c>
    </row>
    <row r="97">
      <c r="A97" s="9"/>
      <c r="B97" s="9"/>
      <c r="G97" s="21">
        <v>45435.0</v>
      </c>
      <c r="H97" s="22">
        <v>0.625</v>
      </c>
      <c r="I97" s="23">
        <v>56.83</v>
      </c>
      <c r="J97" s="23">
        <v>25.53</v>
      </c>
      <c r="K97" s="23">
        <v>433.96</v>
      </c>
    </row>
    <row r="98">
      <c r="A98" s="9"/>
      <c r="B98" s="9"/>
      <c r="G98" s="21">
        <v>45435.0</v>
      </c>
      <c r="H98" s="22">
        <v>0.6666666666666666</v>
      </c>
      <c r="I98" s="23">
        <v>57.11</v>
      </c>
      <c r="J98" s="23">
        <v>25.26</v>
      </c>
      <c r="K98" s="23">
        <v>434.3</v>
      </c>
    </row>
    <row r="99">
      <c r="A99" s="9"/>
      <c r="B99" s="9"/>
      <c r="G99" s="21">
        <v>45435.0</v>
      </c>
      <c r="H99" s="22">
        <v>0.7083333333333334</v>
      </c>
      <c r="I99" s="23">
        <v>58.41</v>
      </c>
      <c r="J99" s="23">
        <v>24.69</v>
      </c>
      <c r="K99" s="23">
        <v>432.69</v>
      </c>
    </row>
    <row r="100">
      <c r="A100" s="9"/>
      <c r="B100" s="9"/>
      <c r="G100" s="21">
        <v>45435.0</v>
      </c>
      <c r="H100" s="22">
        <v>0.75</v>
      </c>
      <c r="I100" s="23">
        <v>58.98</v>
      </c>
      <c r="J100" s="23">
        <v>25.28</v>
      </c>
      <c r="K100" s="23">
        <v>430.74</v>
      </c>
    </row>
    <row r="101">
      <c r="A101" s="9"/>
      <c r="B101" s="9"/>
      <c r="G101" s="21">
        <v>45435.0</v>
      </c>
      <c r="H101" s="22">
        <v>0.7916666666666666</v>
      </c>
      <c r="I101" s="23">
        <v>61.74</v>
      </c>
      <c r="J101" s="23">
        <v>23.93</v>
      </c>
      <c r="K101" s="23">
        <v>428.54</v>
      </c>
    </row>
    <row r="102">
      <c r="A102" s="9"/>
      <c r="B102" s="9"/>
      <c r="G102" s="21">
        <v>45435.0</v>
      </c>
      <c r="H102" s="22">
        <v>0.8333333333333334</v>
      </c>
      <c r="I102" s="23">
        <v>61.29</v>
      </c>
      <c r="J102" s="23">
        <v>26.76</v>
      </c>
      <c r="K102" s="23">
        <v>438.87</v>
      </c>
    </row>
    <row r="103">
      <c r="A103" s="9"/>
      <c r="B103" s="9"/>
      <c r="G103" s="21">
        <v>45435.0</v>
      </c>
      <c r="H103" s="22">
        <v>0.875</v>
      </c>
      <c r="I103" s="23">
        <v>61.14</v>
      </c>
      <c r="J103" s="23">
        <v>26.91</v>
      </c>
      <c r="K103" s="23">
        <v>441.1</v>
      </c>
    </row>
    <row r="104">
      <c r="A104" s="9"/>
      <c r="B104" s="9"/>
      <c r="G104" s="21">
        <v>45435.0</v>
      </c>
      <c r="H104" s="22">
        <v>0.9166666666666666</v>
      </c>
      <c r="I104" s="23">
        <v>61.81</v>
      </c>
      <c r="J104" s="23">
        <v>25.72</v>
      </c>
      <c r="K104" s="23">
        <v>443.67</v>
      </c>
    </row>
    <row r="105">
      <c r="A105" s="9"/>
      <c r="B105" s="9"/>
      <c r="G105" s="21">
        <v>45435.0</v>
      </c>
      <c r="H105" s="22">
        <v>0.9583333333333334</v>
      </c>
      <c r="I105" s="23">
        <v>62.96</v>
      </c>
      <c r="J105" s="23">
        <v>24.88</v>
      </c>
      <c r="K105" s="23">
        <v>443.38</v>
      </c>
    </row>
    <row r="106">
      <c r="A106" s="9"/>
      <c r="B106" s="9"/>
      <c r="G106" s="21">
        <v>45436.0</v>
      </c>
      <c r="H106" s="22">
        <v>0.0</v>
      </c>
      <c r="I106" s="23">
        <v>63.79</v>
      </c>
      <c r="J106" s="23">
        <v>24.12</v>
      </c>
      <c r="K106" s="23">
        <v>446.91</v>
      </c>
    </row>
    <row r="107">
      <c r="A107" s="9"/>
      <c r="B107" s="9"/>
      <c r="G107" s="21">
        <v>45436.0</v>
      </c>
      <c r="H107" s="22">
        <v>0.041666666666666664</v>
      </c>
      <c r="I107" s="23">
        <v>64.7</v>
      </c>
      <c r="J107" s="23">
        <v>23.42</v>
      </c>
      <c r="K107" s="23">
        <v>452.19</v>
      </c>
    </row>
    <row r="108">
      <c r="A108" s="9"/>
      <c r="B108" s="9"/>
      <c r="G108" s="21">
        <v>45436.0</v>
      </c>
      <c r="H108" s="22">
        <v>0.08333333333333333</v>
      </c>
      <c r="I108" s="23">
        <v>65.64</v>
      </c>
      <c r="J108" s="23">
        <v>22.83</v>
      </c>
      <c r="K108" s="23">
        <v>449.24</v>
      </c>
    </row>
    <row r="109">
      <c r="A109" s="9"/>
      <c r="B109" s="9"/>
      <c r="G109" s="21">
        <v>45436.0</v>
      </c>
      <c r="H109" s="22">
        <v>0.125</v>
      </c>
      <c r="I109" s="23">
        <v>66.48</v>
      </c>
      <c r="J109" s="23">
        <v>22.34</v>
      </c>
      <c r="K109" s="23">
        <v>450.43</v>
      </c>
    </row>
    <row r="110">
      <c r="A110" s="9"/>
      <c r="B110" s="9"/>
      <c r="G110" s="21">
        <v>45436.0</v>
      </c>
      <c r="H110" s="22">
        <v>0.16666666666666666</v>
      </c>
      <c r="I110" s="23">
        <v>66.96</v>
      </c>
      <c r="J110" s="23">
        <v>21.85</v>
      </c>
      <c r="K110" s="23">
        <v>451.26</v>
      </c>
    </row>
    <row r="111">
      <c r="A111" s="9"/>
      <c r="B111" s="9"/>
      <c r="G111" s="21">
        <v>45436.0</v>
      </c>
      <c r="H111" s="22">
        <v>0.20833333333333334</v>
      </c>
      <c r="I111" s="23">
        <v>67.18</v>
      </c>
      <c r="J111" s="23">
        <v>21.42</v>
      </c>
      <c r="K111" s="23">
        <v>454.9</v>
      </c>
    </row>
    <row r="112">
      <c r="A112" s="9"/>
      <c r="B112" s="9"/>
      <c r="G112" s="21">
        <v>45436.0</v>
      </c>
      <c r="H112" s="22">
        <v>0.25</v>
      </c>
      <c r="I112" s="23">
        <v>67.2</v>
      </c>
      <c r="J112" s="23">
        <v>22.13</v>
      </c>
      <c r="K112" s="23">
        <v>459.83</v>
      </c>
    </row>
    <row r="113">
      <c r="A113" s="9"/>
      <c r="B113" s="9"/>
      <c r="G113" s="21">
        <v>45436.0</v>
      </c>
      <c r="H113" s="22">
        <v>0.2916666666666667</v>
      </c>
      <c r="I113" s="23">
        <v>66.46</v>
      </c>
      <c r="J113" s="23">
        <v>26.01</v>
      </c>
      <c r="K113" s="23">
        <v>461.68</v>
      </c>
    </row>
    <row r="114">
      <c r="A114" s="9"/>
      <c r="B114" s="9"/>
      <c r="G114" s="21">
        <v>45436.0</v>
      </c>
      <c r="H114" s="22">
        <v>0.3333333333333333</v>
      </c>
      <c r="I114" s="23">
        <v>64.45</v>
      </c>
      <c r="J114" s="23">
        <v>23.33</v>
      </c>
      <c r="K114" s="23">
        <v>450.97</v>
      </c>
    </row>
    <row r="115">
      <c r="A115" s="9"/>
      <c r="B115" s="9"/>
      <c r="G115" s="21">
        <v>45436.0</v>
      </c>
      <c r="H115" s="22">
        <v>0.375</v>
      </c>
      <c r="I115" s="23">
        <v>62.69</v>
      </c>
      <c r="J115" s="23">
        <v>24.44</v>
      </c>
      <c r="K115" s="23">
        <v>444.89</v>
      </c>
    </row>
    <row r="116">
      <c r="A116" s="9"/>
      <c r="B116" s="9"/>
      <c r="G116" s="21">
        <v>45436.0</v>
      </c>
      <c r="H116" s="22">
        <v>0.4166666666666667</v>
      </c>
      <c r="I116" s="23">
        <v>58.84</v>
      </c>
      <c r="J116" s="23">
        <v>27.03</v>
      </c>
      <c r="K116" s="23">
        <v>442.95</v>
      </c>
    </row>
    <row r="117">
      <c r="A117" s="9"/>
      <c r="B117" s="9"/>
      <c r="G117" s="21">
        <v>45436.0</v>
      </c>
      <c r="H117" s="22">
        <v>0.4583333333333333</v>
      </c>
      <c r="I117" s="23">
        <v>56.87</v>
      </c>
      <c r="J117" s="23">
        <v>26.47</v>
      </c>
      <c r="K117" s="23">
        <v>434.03</v>
      </c>
    </row>
    <row r="118">
      <c r="A118" s="9"/>
      <c r="B118" s="9"/>
      <c r="G118" s="21">
        <v>45436.0</v>
      </c>
      <c r="H118" s="22">
        <v>0.5</v>
      </c>
      <c r="I118" s="23">
        <v>56.15</v>
      </c>
      <c r="J118" s="23">
        <v>25.4</v>
      </c>
      <c r="K118" s="23">
        <v>429.47</v>
      </c>
    </row>
    <row r="119">
      <c r="A119" s="9"/>
      <c r="B119" s="9"/>
      <c r="G119" s="21">
        <v>45436.0</v>
      </c>
      <c r="H119" s="22">
        <v>0.5416666666666666</v>
      </c>
      <c r="I119" s="23">
        <v>55.15</v>
      </c>
      <c r="J119" s="23">
        <v>25.75</v>
      </c>
      <c r="K119" s="23">
        <v>429.57</v>
      </c>
    </row>
    <row r="120">
      <c r="A120" s="9"/>
      <c r="B120" s="9"/>
      <c r="G120" s="21">
        <v>45436.0</v>
      </c>
      <c r="H120" s="22">
        <v>0.5833333333333334</v>
      </c>
      <c r="I120" s="23">
        <v>55.3</v>
      </c>
      <c r="J120" s="23">
        <v>25.24</v>
      </c>
      <c r="K120" s="23">
        <v>426.36</v>
      </c>
    </row>
    <row r="121">
      <c r="A121" s="9"/>
      <c r="B121" s="9"/>
      <c r="G121" s="21">
        <v>45436.0</v>
      </c>
      <c r="H121" s="22">
        <v>0.625</v>
      </c>
      <c r="I121" s="23">
        <v>56.14</v>
      </c>
      <c r="J121" s="23">
        <v>25.28</v>
      </c>
      <c r="K121" s="23">
        <v>424.97</v>
      </c>
    </row>
    <row r="122">
      <c r="A122" s="9"/>
      <c r="B122" s="9"/>
      <c r="G122" s="21">
        <v>45436.0</v>
      </c>
      <c r="H122" s="22">
        <v>0.6666666666666666</v>
      </c>
      <c r="I122" s="23">
        <v>55.76</v>
      </c>
      <c r="J122" s="23">
        <v>26.8</v>
      </c>
      <c r="K122" s="23">
        <v>426.61</v>
      </c>
    </row>
    <row r="123">
      <c r="A123" s="9"/>
      <c r="B123" s="9"/>
      <c r="G123" s="21">
        <v>45436.0</v>
      </c>
      <c r="H123" s="22">
        <v>0.7083333333333334</v>
      </c>
      <c r="I123" s="23">
        <v>55.51</v>
      </c>
      <c r="J123" s="23">
        <v>27.1</v>
      </c>
      <c r="K123" s="23">
        <v>423.95</v>
      </c>
    </row>
    <row r="124">
      <c r="A124" s="9"/>
      <c r="B124" s="9"/>
      <c r="G124" s="21">
        <v>45436.0</v>
      </c>
      <c r="H124" s="22">
        <v>0.75</v>
      </c>
      <c r="I124" s="23">
        <v>55.62</v>
      </c>
      <c r="J124" s="23">
        <v>27.62</v>
      </c>
      <c r="K124" s="23">
        <v>423.71</v>
      </c>
    </row>
    <row r="125">
      <c r="A125" s="9"/>
      <c r="B125" s="9"/>
      <c r="G125" s="21">
        <v>45436.0</v>
      </c>
      <c r="H125" s="22">
        <v>0.7916666666666666</v>
      </c>
      <c r="I125" s="23">
        <v>56.7</v>
      </c>
      <c r="J125" s="23">
        <v>25.95</v>
      </c>
      <c r="K125" s="23">
        <v>422.72</v>
      </c>
    </row>
    <row r="126">
      <c r="A126" s="9"/>
      <c r="B126" s="9"/>
      <c r="G126" s="21">
        <v>45436.0</v>
      </c>
      <c r="H126" s="22">
        <v>0.8333333333333334</v>
      </c>
      <c r="I126" s="23">
        <v>57.97</v>
      </c>
      <c r="J126" s="23">
        <v>23.97</v>
      </c>
      <c r="K126" s="23">
        <v>424.72</v>
      </c>
    </row>
    <row r="127">
      <c r="A127" s="9"/>
      <c r="B127" s="9"/>
      <c r="G127" s="21">
        <v>45436.0</v>
      </c>
      <c r="H127" s="22">
        <v>0.875</v>
      </c>
      <c r="I127" s="23">
        <v>58.56</v>
      </c>
      <c r="J127" s="23">
        <v>23.26</v>
      </c>
      <c r="K127" s="23">
        <v>430.01</v>
      </c>
    </row>
    <row r="128">
      <c r="A128" s="9"/>
      <c r="B128" s="9"/>
      <c r="G128" s="21">
        <v>45436.0</v>
      </c>
      <c r="H128" s="22">
        <v>0.9166666666666666</v>
      </c>
      <c r="I128" s="23">
        <v>59.76</v>
      </c>
      <c r="J128" s="23">
        <v>22.96</v>
      </c>
      <c r="K128" s="23">
        <v>434.01</v>
      </c>
    </row>
    <row r="129">
      <c r="A129" s="9"/>
      <c r="B129" s="9"/>
      <c r="G129" s="21">
        <v>45436.0</v>
      </c>
      <c r="H129" s="22">
        <v>0.9583333333333334</v>
      </c>
      <c r="I129" s="23">
        <v>60.85</v>
      </c>
      <c r="J129" s="23">
        <v>22.46</v>
      </c>
      <c r="K129" s="23">
        <v>438.92</v>
      </c>
    </row>
    <row r="130">
      <c r="A130" s="9"/>
      <c r="B130" s="9"/>
      <c r="G130" s="21">
        <v>45437.0</v>
      </c>
      <c r="H130" s="22">
        <v>0.0</v>
      </c>
      <c r="I130" s="23">
        <v>62.01</v>
      </c>
      <c r="J130" s="23">
        <v>22.0</v>
      </c>
      <c r="K130" s="23">
        <v>442.14</v>
      </c>
    </row>
    <row r="131">
      <c r="A131" s="9"/>
      <c r="B131" s="9"/>
      <c r="G131" s="21">
        <v>45437.0</v>
      </c>
      <c r="H131" s="22">
        <v>0.041666666666666664</v>
      </c>
      <c r="I131" s="23">
        <v>63.09</v>
      </c>
      <c r="J131" s="23">
        <v>21.69</v>
      </c>
      <c r="K131" s="23">
        <v>445.03</v>
      </c>
    </row>
    <row r="132">
      <c r="A132" s="9"/>
      <c r="B132" s="9"/>
      <c r="G132" s="21">
        <v>45437.0</v>
      </c>
      <c r="H132" s="22">
        <v>0.08333333333333333</v>
      </c>
      <c r="I132" s="23">
        <v>63.71</v>
      </c>
      <c r="J132" s="23">
        <v>21.4</v>
      </c>
      <c r="K132" s="23">
        <v>451.4</v>
      </c>
    </row>
    <row r="133">
      <c r="A133" s="9"/>
      <c r="B133" s="9"/>
      <c r="G133" s="21">
        <v>45437.0</v>
      </c>
      <c r="H133" s="22">
        <v>0.125</v>
      </c>
      <c r="I133" s="23">
        <v>64.48</v>
      </c>
      <c r="J133" s="23">
        <v>21.2</v>
      </c>
      <c r="K133" s="23">
        <v>453.89</v>
      </c>
    </row>
    <row r="134">
      <c r="A134" s="9"/>
      <c r="B134" s="9"/>
      <c r="G134" s="21">
        <v>45437.0</v>
      </c>
      <c r="H134" s="22">
        <v>0.16666666666666666</v>
      </c>
      <c r="I134" s="23">
        <v>64.44</v>
      </c>
      <c r="J134" s="23">
        <v>20.87</v>
      </c>
      <c r="K134" s="23">
        <v>459.49</v>
      </c>
    </row>
    <row r="135">
      <c r="A135" s="9"/>
      <c r="B135" s="9"/>
      <c r="G135" s="21">
        <v>45437.0</v>
      </c>
      <c r="H135" s="22">
        <v>0.20833333333333334</v>
      </c>
      <c r="I135" s="23">
        <v>64.73</v>
      </c>
      <c r="J135" s="23">
        <v>20.57</v>
      </c>
      <c r="K135" s="23">
        <v>460.16</v>
      </c>
    </row>
    <row r="136">
      <c r="A136" s="9"/>
      <c r="B136" s="9"/>
      <c r="G136" s="21">
        <v>45437.0</v>
      </c>
      <c r="H136" s="22">
        <v>0.25</v>
      </c>
      <c r="I136" s="23">
        <v>65.45</v>
      </c>
      <c r="J136" s="23">
        <v>21.42</v>
      </c>
      <c r="K136" s="23">
        <v>461.97</v>
      </c>
    </row>
    <row r="137">
      <c r="A137" s="9"/>
      <c r="B137" s="9"/>
      <c r="G137" s="21">
        <v>45437.0</v>
      </c>
      <c r="H137" s="22">
        <v>0.2916666666666667</v>
      </c>
      <c r="I137" s="23">
        <v>64.44</v>
      </c>
      <c r="J137" s="23">
        <v>25.08</v>
      </c>
      <c r="K137" s="23">
        <v>462.05</v>
      </c>
    </row>
    <row r="138">
      <c r="A138" s="9"/>
      <c r="B138" s="9"/>
      <c r="G138" s="21">
        <v>45437.0</v>
      </c>
      <c r="H138" s="22">
        <v>0.3333333333333333</v>
      </c>
      <c r="I138" s="23">
        <v>61.94</v>
      </c>
      <c r="J138" s="23">
        <v>26.67</v>
      </c>
      <c r="K138" s="23">
        <v>456.83</v>
      </c>
    </row>
    <row r="139">
      <c r="A139" s="9"/>
      <c r="B139" s="9"/>
      <c r="G139" s="21">
        <v>45437.0</v>
      </c>
      <c r="H139" s="22">
        <v>0.375</v>
      </c>
      <c r="I139" s="23">
        <v>59.87</v>
      </c>
      <c r="J139" s="23">
        <v>26.88</v>
      </c>
      <c r="K139" s="23">
        <v>449.94</v>
      </c>
    </row>
    <row r="140">
      <c r="A140" s="9"/>
      <c r="B140" s="9"/>
      <c r="G140" s="21">
        <v>45437.0</v>
      </c>
      <c r="H140" s="22">
        <v>0.4166666666666667</v>
      </c>
      <c r="I140" s="23">
        <v>57.76</v>
      </c>
      <c r="J140" s="23">
        <v>26.27</v>
      </c>
      <c r="K140" s="23">
        <v>439.82</v>
      </c>
    </row>
    <row r="141">
      <c r="A141" s="9"/>
      <c r="B141" s="9"/>
      <c r="G141" s="21">
        <v>45437.0</v>
      </c>
      <c r="H141" s="22">
        <v>0.4583333333333333</v>
      </c>
      <c r="I141" s="23">
        <v>56.82</v>
      </c>
      <c r="J141" s="23">
        <v>25.42</v>
      </c>
      <c r="K141" s="23">
        <v>432.88</v>
      </c>
    </row>
    <row r="142">
      <c r="A142" s="9"/>
      <c r="B142" s="9"/>
      <c r="G142" s="21">
        <v>45437.0</v>
      </c>
      <c r="H142" s="22">
        <v>0.5</v>
      </c>
      <c r="I142" s="23">
        <v>55.75</v>
      </c>
      <c r="J142" s="23">
        <v>25.91</v>
      </c>
      <c r="K142" s="23">
        <v>431.96</v>
      </c>
    </row>
    <row r="143">
      <c r="A143" s="9"/>
      <c r="B143" s="9"/>
      <c r="G143" s="21">
        <v>45437.0</v>
      </c>
      <c r="H143" s="22">
        <v>0.5416666666666666</v>
      </c>
      <c r="I143" s="23">
        <v>54.94</v>
      </c>
      <c r="J143" s="23">
        <v>25.73</v>
      </c>
      <c r="K143" s="23">
        <v>426.31</v>
      </c>
    </row>
    <row r="144">
      <c r="A144" s="9"/>
      <c r="B144" s="9"/>
      <c r="G144" s="21">
        <v>45437.0</v>
      </c>
      <c r="H144" s="22">
        <v>0.5833333333333334</v>
      </c>
      <c r="I144" s="23">
        <v>55.12</v>
      </c>
      <c r="J144" s="23">
        <v>25.31</v>
      </c>
      <c r="K144" s="23">
        <v>420.96</v>
      </c>
    </row>
    <row r="145">
      <c r="A145" s="9"/>
      <c r="B145" s="9"/>
      <c r="G145" s="21">
        <v>45437.0</v>
      </c>
      <c r="H145" s="22">
        <v>0.625</v>
      </c>
      <c r="I145" s="23">
        <v>55.15</v>
      </c>
      <c r="J145" s="23">
        <v>25.74</v>
      </c>
      <c r="K145" s="23">
        <v>418.66</v>
      </c>
    </row>
    <row r="146">
      <c r="A146" s="9"/>
      <c r="B146" s="9"/>
      <c r="G146" s="21">
        <v>45437.0</v>
      </c>
      <c r="H146" s="22">
        <v>0.6666666666666666</v>
      </c>
      <c r="I146" s="23">
        <v>54.19</v>
      </c>
      <c r="J146" s="23">
        <v>25.99</v>
      </c>
      <c r="K146" s="23">
        <v>415.28</v>
      </c>
    </row>
    <row r="147">
      <c r="A147" s="9"/>
      <c r="B147" s="9"/>
      <c r="G147" s="21">
        <v>45437.0</v>
      </c>
      <c r="H147" s="22">
        <v>0.7083333333333334</v>
      </c>
      <c r="I147" s="23">
        <v>55.53</v>
      </c>
      <c r="J147" s="23">
        <v>23.61</v>
      </c>
      <c r="K147" s="23">
        <v>414.29</v>
      </c>
    </row>
    <row r="148">
      <c r="A148" s="9"/>
      <c r="B148" s="9"/>
      <c r="G148" s="21">
        <v>45437.0</v>
      </c>
      <c r="H148" s="22">
        <v>0.75</v>
      </c>
      <c r="I148" s="23">
        <v>55.36</v>
      </c>
      <c r="J148" s="23">
        <v>27.3</v>
      </c>
      <c r="K148" s="23">
        <v>417.43</v>
      </c>
    </row>
    <row r="149">
      <c r="A149" s="9"/>
      <c r="B149" s="9"/>
      <c r="G149" s="21">
        <v>45437.0</v>
      </c>
      <c r="H149" s="22">
        <v>0.7916666666666666</v>
      </c>
      <c r="I149" s="23">
        <v>56.04</v>
      </c>
      <c r="J149" s="23">
        <v>26.55</v>
      </c>
      <c r="K149" s="23">
        <v>418.83</v>
      </c>
    </row>
    <row r="150">
      <c r="A150" s="9"/>
      <c r="B150" s="9"/>
      <c r="G150" s="21">
        <v>45437.0</v>
      </c>
      <c r="H150" s="22">
        <v>0.8333333333333334</v>
      </c>
      <c r="I150" s="23">
        <v>57.81</v>
      </c>
      <c r="J150" s="23">
        <v>25.03</v>
      </c>
      <c r="K150" s="23">
        <v>423.83</v>
      </c>
    </row>
    <row r="151">
      <c r="A151" s="9"/>
      <c r="B151" s="9"/>
      <c r="G151" s="21">
        <v>45437.0</v>
      </c>
      <c r="H151" s="22">
        <v>0.875</v>
      </c>
      <c r="I151" s="23">
        <v>58.47</v>
      </c>
      <c r="J151" s="23">
        <v>24.26</v>
      </c>
      <c r="K151" s="23">
        <v>428.3</v>
      </c>
    </row>
    <row r="152">
      <c r="A152" s="9"/>
      <c r="B152" s="9"/>
      <c r="G152" s="21">
        <v>45437.0</v>
      </c>
      <c r="H152" s="22">
        <v>0.9166666666666666</v>
      </c>
      <c r="I152" s="23">
        <v>59.35</v>
      </c>
      <c r="J152" s="23">
        <v>23.37</v>
      </c>
      <c r="K152" s="23">
        <v>431.43</v>
      </c>
    </row>
    <row r="153">
      <c r="A153" s="9"/>
      <c r="B153" s="9"/>
      <c r="G153" s="21">
        <v>45437.0</v>
      </c>
      <c r="H153" s="22">
        <v>0.9583333333333334</v>
      </c>
      <c r="I153" s="23">
        <v>60.25</v>
      </c>
      <c r="J153" s="23">
        <v>22.43</v>
      </c>
      <c r="K153" s="23">
        <v>431.11</v>
      </c>
    </row>
    <row r="154">
      <c r="A154" s="9"/>
      <c r="B154" s="9"/>
      <c r="G154" s="21">
        <v>45438.0</v>
      </c>
      <c r="H154" s="22">
        <v>0.0</v>
      </c>
      <c r="I154" s="23">
        <v>61.69</v>
      </c>
      <c r="J154" s="23">
        <v>21.42</v>
      </c>
      <c r="K154" s="23">
        <v>436.25</v>
      </c>
    </row>
    <row r="155">
      <c r="A155" s="9"/>
      <c r="B155" s="9"/>
      <c r="G155" s="21">
        <v>45438.0</v>
      </c>
      <c r="H155" s="22">
        <v>0.041666666666666664</v>
      </c>
      <c r="I155" s="23">
        <v>62.53</v>
      </c>
      <c r="J155" s="23">
        <v>20.78</v>
      </c>
      <c r="K155" s="23">
        <v>441.38</v>
      </c>
    </row>
    <row r="156">
      <c r="A156" s="9"/>
      <c r="B156" s="9"/>
      <c r="G156" s="21">
        <v>45438.0</v>
      </c>
      <c r="H156" s="22">
        <v>0.08333333333333333</v>
      </c>
      <c r="I156" s="23">
        <v>63.47</v>
      </c>
      <c r="J156" s="23">
        <v>19.82</v>
      </c>
      <c r="K156" s="23">
        <v>451.88</v>
      </c>
    </row>
    <row r="157">
      <c r="A157" s="9"/>
      <c r="B157" s="9"/>
      <c r="G157" s="21">
        <v>45438.0</v>
      </c>
      <c r="H157" s="22">
        <v>0.125</v>
      </c>
      <c r="I157" s="23">
        <v>63.74</v>
      </c>
      <c r="J157" s="23">
        <v>19.64</v>
      </c>
      <c r="K157" s="23">
        <v>455.03</v>
      </c>
    </row>
    <row r="158">
      <c r="A158" s="9"/>
      <c r="B158" s="9"/>
      <c r="G158" s="21">
        <v>45438.0</v>
      </c>
      <c r="H158" s="22">
        <v>0.16666666666666666</v>
      </c>
      <c r="I158" s="23">
        <v>64.36</v>
      </c>
      <c r="J158" s="23">
        <v>19.22</v>
      </c>
      <c r="K158" s="23">
        <v>466.88</v>
      </c>
    </row>
    <row r="159">
      <c r="A159" s="9"/>
      <c r="B159" s="9"/>
      <c r="G159" s="21">
        <v>45438.0</v>
      </c>
      <c r="H159" s="22">
        <v>0.20833333333333334</v>
      </c>
      <c r="I159" s="23">
        <v>64.34</v>
      </c>
      <c r="J159" s="23">
        <v>19.21</v>
      </c>
      <c r="K159" s="23">
        <v>479.51</v>
      </c>
    </row>
    <row r="160">
      <c r="A160" s="9"/>
      <c r="B160" s="9"/>
      <c r="G160" s="21">
        <v>45438.0</v>
      </c>
      <c r="H160" s="22">
        <v>0.25</v>
      </c>
      <c r="I160" s="23">
        <v>65.12</v>
      </c>
      <c r="J160" s="23">
        <v>20.26</v>
      </c>
      <c r="K160" s="23">
        <v>482.72</v>
      </c>
    </row>
    <row r="161">
      <c r="A161" s="9"/>
      <c r="B161" s="9"/>
      <c r="G161" s="21">
        <v>45438.0</v>
      </c>
      <c r="H161" s="22">
        <v>0.2916666666666667</v>
      </c>
      <c r="I161" s="23">
        <v>64.81</v>
      </c>
      <c r="J161" s="23">
        <v>24.57</v>
      </c>
      <c r="K161" s="23">
        <v>474.35</v>
      </c>
    </row>
    <row r="162">
      <c r="A162" s="9"/>
      <c r="B162" s="9"/>
      <c r="G162" s="21">
        <v>45438.0</v>
      </c>
      <c r="H162" s="22">
        <v>0.3333333333333333</v>
      </c>
      <c r="I162" s="23">
        <v>61.63</v>
      </c>
      <c r="J162" s="23">
        <v>27.07</v>
      </c>
      <c r="K162" s="23">
        <v>456.24</v>
      </c>
    </row>
    <row r="163">
      <c r="A163" s="9"/>
      <c r="B163" s="9"/>
      <c r="G163" s="21">
        <v>45438.0</v>
      </c>
      <c r="H163" s="22">
        <v>0.375</v>
      </c>
      <c r="I163" s="23">
        <v>58.17</v>
      </c>
      <c r="J163" s="23">
        <v>28.07</v>
      </c>
      <c r="K163" s="23">
        <v>437.73</v>
      </c>
    </row>
    <row r="164">
      <c r="A164" s="9"/>
      <c r="B164" s="9"/>
      <c r="G164" s="21">
        <v>45438.0</v>
      </c>
      <c r="H164" s="22">
        <v>0.4166666666666667</v>
      </c>
      <c r="I164" s="23">
        <v>55.25</v>
      </c>
      <c r="J164" s="23">
        <v>28.64</v>
      </c>
      <c r="K164" s="23">
        <v>428.2</v>
      </c>
    </row>
    <row r="165">
      <c r="A165" s="9"/>
      <c r="B165" s="9"/>
      <c r="G165" s="21">
        <v>45438.0</v>
      </c>
      <c r="H165" s="22">
        <v>0.4583333333333333</v>
      </c>
      <c r="I165" s="23">
        <v>53.26</v>
      </c>
      <c r="J165" s="23">
        <v>27.89</v>
      </c>
      <c r="K165" s="23">
        <v>421.35</v>
      </c>
    </row>
    <row r="166">
      <c r="A166" s="9"/>
      <c r="B166" s="9"/>
      <c r="G166" s="21">
        <v>45438.0</v>
      </c>
      <c r="H166" s="22">
        <v>0.5</v>
      </c>
      <c r="I166" s="23">
        <v>52.3</v>
      </c>
      <c r="J166" s="23">
        <v>26.67</v>
      </c>
      <c r="K166" s="23">
        <v>417.27</v>
      </c>
    </row>
    <row r="167">
      <c r="A167" s="9"/>
      <c r="B167" s="9"/>
      <c r="G167" s="21">
        <v>45438.0</v>
      </c>
      <c r="H167" s="22">
        <v>0.5416666666666666</v>
      </c>
      <c r="I167" s="23">
        <v>51.39</v>
      </c>
      <c r="J167" s="23">
        <v>27.58</v>
      </c>
      <c r="K167" s="23">
        <v>410.88</v>
      </c>
    </row>
    <row r="168">
      <c r="A168" s="9"/>
      <c r="B168" s="9"/>
      <c r="G168" s="21">
        <v>45438.0</v>
      </c>
      <c r="H168" s="22">
        <v>0.5833333333333334</v>
      </c>
      <c r="I168" s="23">
        <v>51.43</v>
      </c>
      <c r="J168" s="23">
        <v>25.34</v>
      </c>
      <c r="K168" s="23">
        <v>407.61</v>
      </c>
    </row>
    <row r="169">
      <c r="A169" s="9"/>
      <c r="B169" s="9"/>
      <c r="G169" s="21">
        <v>45438.0</v>
      </c>
      <c r="H169" s="22">
        <v>0.625</v>
      </c>
      <c r="I169" s="23">
        <v>47.99</v>
      </c>
      <c r="J169" s="23">
        <v>29.88</v>
      </c>
      <c r="K169" s="23">
        <v>407.68</v>
      </c>
    </row>
    <row r="170">
      <c r="A170" s="9"/>
      <c r="B170" s="9"/>
      <c r="G170" s="21">
        <v>45438.0</v>
      </c>
      <c r="H170" s="22">
        <v>0.6666666666666666</v>
      </c>
      <c r="I170" s="23">
        <v>51.31</v>
      </c>
      <c r="J170" s="23">
        <v>25.18</v>
      </c>
      <c r="K170" s="23">
        <v>411.3</v>
      </c>
    </row>
    <row r="171">
      <c r="A171" s="9"/>
      <c r="B171" s="9"/>
      <c r="G171" s="21">
        <v>45438.0</v>
      </c>
      <c r="H171" s="22">
        <v>0.7083333333333334</v>
      </c>
      <c r="I171" s="23">
        <v>51.96</v>
      </c>
      <c r="J171" s="23">
        <v>26.73</v>
      </c>
      <c r="K171" s="23">
        <v>419.67</v>
      </c>
    </row>
    <row r="172">
      <c r="A172" s="9"/>
      <c r="B172" s="9"/>
      <c r="G172" s="21">
        <v>45438.0</v>
      </c>
      <c r="H172" s="22">
        <v>0.75</v>
      </c>
      <c r="I172" s="23">
        <v>52.42</v>
      </c>
      <c r="J172" s="23">
        <v>27.08</v>
      </c>
      <c r="K172" s="23">
        <v>421.28</v>
      </c>
    </row>
    <row r="173">
      <c r="A173" s="9"/>
      <c r="B173" s="9"/>
      <c r="G173" s="21">
        <v>45438.0</v>
      </c>
      <c r="H173" s="22">
        <v>0.7916666666666666</v>
      </c>
      <c r="I173" s="23">
        <v>52.92</v>
      </c>
      <c r="J173" s="23">
        <v>27.89</v>
      </c>
      <c r="K173" s="23">
        <v>421.21</v>
      </c>
    </row>
    <row r="174">
      <c r="A174" s="9"/>
      <c r="B174" s="9"/>
      <c r="G174" s="21">
        <v>45438.0</v>
      </c>
      <c r="H174" s="22">
        <v>0.8333333333333334</v>
      </c>
      <c r="I174" s="23">
        <v>54.42</v>
      </c>
      <c r="J174" s="23">
        <v>27.53</v>
      </c>
      <c r="K174" s="23">
        <v>426.5</v>
      </c>
    </row>
    <row r="175">
      <c r="A175" s="9"/>
      <c r="B175" s="9"/>
      <c r="G175" s="21">
        <v>45438.0</v>
      </c>
      <c r="H175" s="22">
        <v>0.875</v>
      </c>
      <c r="I175" s="23">
        <v>55.22</v>
      </c>
      <c r="J175" s="23">
        <v>27.41</v>
      </c>
      <c r="K175" s="23">
        <v>431.57</v>
      </c>
    </row>
    <row r="176">
      <c r="A176" s="9"/>
      <c r="B176" s="9"/>
      <c r="G176" s="21">
        <v>45438.0</v>
      </c>
      <c r="H176" s="22">
        <v>0.9166666666666666</v>
      </c>
      <c r="I176" s="23">
        <v>55.52</v>
      </c>
      <c r="J176" s="23">
        <v>27.28</v>
      </c>
      <c r="K176" s="23">
        <v>434.2</v>
      </c>
    </row>
    <row r="177">
      <c r="A177" s="9"/>
      <c r="B177" s="9"/>
      <c r="G177" s="21">
        <v>45438.0</v>
      </c>
      <c r="H177" s="22">
        <v>0.9583333333333334</v>
      </c>
      <c r="I177" s="23">
        <v>56.79</v>
      </c>
      <c r="J177" s="23">
        <v>26.34</v>
      </c>
      <c r="K177" s="23">
        <v>432.73</v>
      </c>
    </row>
    <row r="178">
      <c r="A178" s="9"/>
      <c r="B178" s="9"/>
      <c r="G178" s="21">
        <v>45439.0</v>
      </c>
      <c r="H178" s="22">
        <v>0.0</v>
      </c>
      <c r="I178" s="23">
        <v>57.84</v>
      </c>
      <c r="J178" s="23">
        <v>26.04</v>
      </c>
      <c r="K178" s="23">
        <v>427.22</v>
      </c>
    </row>
    <row r="179">
      <c r="A179" s="9"/>
      <c r="B179" s="9"/>
      <c r="G179" s="21">
        <v>45439.0</v>
      </c>
      <c r="H179" s="22">
        <v>0.041666666666666664</v>
      </c>
      <c r="I179" s="23">
        <v>58.39</v>
      </c>
      <c r="J179" s="23">
        <v>25.44</v>
      </c>
      <c r="K179" s="23">
        <v>429.85</v>
      </c>
    </row>
    <row r="180">
      <c r="A180" s="9"/>
      <c r="B180" s="9"/>
      <c r="G180" s="21">
        <v>45439.0</v>
      </c>
      <c r="H180" s="22">
        <v>0.08333333333333333</v>
      </c>
      <c r="I180" s="23">
        <v>59.75</v>
      </c>
      <c r="J180" s="23">
        <v>24.75</v>
      </c>
      <c r="K180" s="23">
        <v>439.72</v>
      </c>
    </row>
    <row r="181">
      <c r="A181" s="9"/>
      <c r="B181" s="9"/>
      <c r="G181" s="21">
        <v>45439.0</v>
      </c>
      <c r="H181" s="22">
        <v>0.125</v>
      </c>
      <c r="I181" s="23">
        <v>60.58</v>
      </c>
      <c r="J181" s="23">
        <v>24.76</v>
      </c>
      <c r="K181" s="23">
        <v>462.13</v>
      </c>
    </row>
    <row r="182">
      <c r="A182" s="9"/>
      <c r="B182" s="9"/>
      <c r="G182" s="21">
        <v>45439.0</v>
      </c>
      <c r="H182" s="22">
        <v>0.16666666666666666</v>
      </c>
      <c r="I182" s="23">
        <v>59.97</v>
      </c>
      <c r="J182" s="23">
        <v>25.98</v>
      </c>
      <c r="K182" s="23">
        <v>482.01</v>
      </c>
    </row>
    <row r="183">
      <c r="A183" s="9"/>
      <c r="B183" s="9"/>
      <c r="G183" s="21">
        <v>45439.0</v>
      </c>
      <c r="H183" s="22">
        <v>0.20833333333333334</v>
      </c>
      <c r="I183" s="23">
        <v>57.9</v>
      </c>
      <c r="J183" s="23">
        <v>27.33</v>
      </c>
      <c r="K183" s="23">
        <v>470.88</v>
      </c>
    </row>
    <row r="184">
      <c r="A184" s="9"/>
      <c r="B184" s="9"/>
      <c r="G184" s="21">
        <v>45439.0</v>
      </c>
      <c r="H184" s="22">
        <v>0.25</v>
      </c>
      <c r="I184" s="23">
        <v>56.42</v>
      </c>
      <c r="J184" s="23">
        <v>26.85</v>
      </c>
      <c r="K184" s="23">
        <v>457.14</v>
      </c>
    </row>
    <row r="185">
      <c r="A185" s="9"/>
      <c r="B185" s="9"/>
      <c r="G185" s="21">
        <v>45439.0</v>
      </c>
      <c r="H185" s="22">
        <v>0.2916666666666667</v>
      </c>
      <c r="I185" s="23">
        <v>55.82</v>
      </c>
      <c r="J185" s="23">
        <v>27.18</v>
      </c>
      <c r="K185" s="23">
        <v>451.03</v>
      </c>
    </row>
    <row r="186">
      <c r="A186" s="9"/>
      <c r="B186" s="9"/>
      <c r="G186" s="21">
        <v>45439.0</v>
      </c>
      <c r="H186" s="22">
        <v>0.3333333333333333</v>
      </c>
      <c r="I186" s="23">
        <v>55.5</v>
      </c>
      <c r="J186" s="23">
        <v>26.79</v>
      </c>
      <c r="K186" s="23">
        <v>443.35</v>
      </c>
    </row>
    <row r="187">
      <c r="A187" s="9"/>
      <c r="B187" s="9"/>
      <c r="G187" s="21">
        <v>45439.0</v>
      </c>
      <c r="H187" s="22">
        <v>0.375</v>
      </c>
      <c r="I187" s="23">
        <v>56.34</v>
      </c>
      <c r="J187" s="23">
        <v>25.19</v>
      </c>
      <c r="K187" s="23">
        <v>434.63</v>
      </c>
    </row>
    <row r="188">
      <c r="A188" s="9"/>
      <c r="B188" s="9"/>
      <c r="G188" s="21">
        <v>45439.0</v>
      </c>
      <c r="H188" s="22">
        <v>0.4166666666666667</v>
      </c>
      <c r="I188" s="23">
        <v>56.6</v>
      </c>
      <c r="J188" s="23">
        <v>25.95</v>
      </c>
      <c r="K188" s="23">
        <v>432.17</v>
      </c>
    </row>
    <row r="189">
      <c r="A189" s="9"/>
      <c r="B189" s="9"/>
      <c r="G189" s="21">
        <v>45439.0</v>
      </c>
      <c r="H189" s="22">
        <v>0.4583333333333333</v>
      </c>
      <c r="I189" s="23">
        <v>55.84</v>
      </c>
      <c r="J189" s="23">
        <v>27.02</v>
      </c>
      <c r="K189" s="23">
        <v>431.58</v>
      </c>
    </row>
    <row r="190">
      <c r="A190" s="9"/>
      <c r="B190" s="9"/>
      <c r="G190" s="21">
        <v>45439.0</v>
      </c>
      <c r="H190" s="22">
        <v>0.5</v>
      </c>
      <c r="I190" s="23">
        <v>54.84</v>
      </c>
      <c r="J190" s="23">
        <v>27.53</v>
      </c>
      <c r="K190" s="23">
        <v>428.83</v>
      </c>
    </row>
    <row r="191">
      <c r="A191" s="9"/>
      <c r="B191" s="9"/>
      <c r="G191" s="21">
        <v>45439.0</v>
      </c>
      <c r="H191" s="22">
        <v>0.5416666666666666</v>
      </c>
      <c r="I191" s="23">
        <v>54.12</v>
      </c>
      <c r="J191" s="23">
        <v>27.63</v>
      </c>
      <c r="K191" s="23">
        <v>428.08</v>
      </c>
    </row>
    <row r="192">
      <c r="A192" s="9"/>
      <c r="B192" s="9"/>
      <c r="G192" s="21">
        <v>45439.0</v>
      </c>
      <c r="H192" s="22">
        <v>0.5833333333333334</v>
      </c>
      <c r="I192" s="23">
        <v>54.37</v>
      </c>
      <c r="J192" s="23">
        <v>27.14</v>
      </c>
      <c r="K192" s="23">
        <v>426.23</v>
      </c>
    </row>
    <row r="193">
      <c r="A193" s="9"/>
      <c r="B193" s="9"/>
      <c r="G193" s="21">
        <v>45439.0</v>
      </c>
      <c r="H193" s="22">
        <v>0.625</v>
      </c>
      <c r="I193" s="23">
        <v>54.97</v>
      </c>
      <c r="J193" s="23">
        <v>26.06</v>
      </c>
      <c r="K193" s="23">
        <v>422.73</v>
      </c>
    </row>
    <row r="194">
      <c r="A194" s="9"/>
      <c r="B194" s="9"/>
      <c r="G194" s="21">
        <v>45439.0</v>
      </c>
      <c r="H194" s="22">
        <v>0.6666666666666666</v>
      </c>
      <c r="I194" s="23">
        <v>56.47</v>
      </c>
      <c r="J194" s="23">
        <v>24.64</v>
      </c>
      <c r="K194" s="23">
        <v>420.61</v>
      </c>
    </row>
    <row r="195">
      <c r="A195" s="9"/>
      <c r="B195" s="9"/>
      <c r="G195" s="21">
        <v>45439.0</v>
      </c>
      <c r="H195" s="22">
        <v>0.7083333333333334</v>
      </c>
      <c r="I195" s="23">
        <v>56.68</v>
      </c>
      <c r="J195" s="23">
        <v>25.96</v>
      </c>
      <c r="K195" s="23">
        <v>423.62</v>
      </c>
    </row>
    <row r="196">
      <c r="A196" s="9"/>
      <c r="B196" s="9"/>
      <c r="G196" s="21">
        <v>45439.0</v>
      </c>
      <c r="H196" s="22">
        <v>0.75</v>
      </c>
      <c r="I196" s="23">
        <v>56.47</v>
      </c>
      <c r="J196" s="23">
        <v>26.66</v>
      </c>
      <c r="K196" s="23">
        <v>428.91</v>
      </c>
    </row>
    <row r="197">
      <c r="A197" s="9"/>
      <c r="B197" s="9"/>
      <c r="G197" s="21">
        <v>45439.0</v>
      </c>
      <c r="H197" s="22">
        <v>0.7916666666666666</v>
      </c>
      <c r="I197" s="23">
        <v>57.17</v>
      </c>
      <c r="J197" s="23">
        <v>26.63</v>
      </c>
      <c r="K197" s="23">
        <v>430.36</v>
      </c>
    </row>
    <row r="198">
      <c r="A198" s="9"/>
      <c r="B198" s="9"/>
      <c r="G198" s="21">
        <v>45439.0</v>
      </c>
      <c r="H198" s="22">
        <v>0.8333333333333334</v>
      </c>
      <c r="I198" s="23">
        <v>58.98</v>
      </c>
      <c r="J198" s="23">
        <v>24.9</v>
      </c>
      <c r="K198" s="23">
        <v>432.9</v>
      </c>
    </row>
    <row r="199">
      <c r="A199" s="9"/>
      <c r="B199" s="9"/>
      <c r="G199" s="21">
        <v>45439.0</v>
      </c>
      <c r="H199" s="22">
        <v>0.875</v>
      </c>
      <c r="I199" s="23">
        <v>60.16</v>
      </c>
      <c r="J199" s="23">
        <v>24.0</v>
      </c>
      <c r="K199" s="23">
        <v>430.57</v>
      </c>
    </row>
    <row r="200">
      <c r="A200" s="9"/>
      <c r="B200" s="9"/>
      <c r="G200" s="21">
        <v>45439.0</v>
      </c>
      <c r="H200" s="22">
        <v>0.9166666666666666</v>
      </c>
      <c r="I200" s="23">
        <v>61.16</v>
      </c>
      <c r="J200" s="23">
        <v>23.41</v>
      </c>
      <c r="K200" s="23">
        <v>438.84</v>
      </c>
    </row>
    <row r="201">
      <c r="A201" s="9"/>
      <c r="B201" s="9"/>
      <c r="G201" s="21">
        <v>45439.0</v>
      </c>
      <c r="H201" s="22">
        <v>0.9583333333333334</v>
      </c>
      <c r="I201" s="23">
        <v>62.16</v>
      </c>
      <c r="J201" s="23">
        <v>23.13</v>
      </c>
      <c r="K201" s="23">
        <v>438.83</v>
      </c>
    </row>
    <row r="202">
      <c r="A202" s="9"/>
      <c r="B202" s="9"/>
      <c r="G202" s="21">
        <v>45440.0</v>
      </c>
      <c r="H202" s="22">
        <v>0.0</v>
      </c>
      <c r="I202" s="23">
        <v>62.76</v>
      </c>
      <c r="J202" s="23">
        <v>22.49</v>
      </c>
      <c r="K202" s="23">
        <v>442.9</v>
      </c>
    </row>
    <row r="203">
      <c r="A203" s="9"/>
      <c r="B203" s="9"/>
      <c r="G203" s="21">
        <v>45440.0</v>
      </c>
      <c r="H203" s="22">
        <v>0.041666666666666664</v>
      </c>
      <c r="I203" s="23">
        <v>63.57</v>
      </c>
      <c r="J203" s="23">
        <v>22.1</v>
      </c>
      <c r="K203" s="23">
        <v>447.01</v>
      </c>
    </row>
    <row r="204">
      <c r="A204" s="9"/>
      <c r="B204" s="9"/>
      <c r="G204" s="21">
        <v>45440.0</v>
      </c>
      <c r="H204" s="22">
        <v>0.08333333333333333</v>
      </c>
      <c r="I204" s="23">
        <v>64.22</v>
      </c>
      <c r="J204" s="23">
        <v>21.7</v>
      </c>
      <c r="K204" s="23">
        <v>452.69</v>
      </c>
    </row>
    <row r="205">
      <c r="A205" s="9"/>
      <c r="B205" s="9"/>
      <c r="G205" s="21">
        <v>45440.0</v>
      </c>
      <c r="H205" s="22">
        <v>0.125</v>
      </c>
      <c r="I205" s="23">
        <v>64.78</v>
      </c>
      <c r="J205" s="23">
        <v>21.48</v>
      </c>
      <c r="K205" s="23">
        <v>456.98</v>
      </c>
    </row>
    <row r="206">
      <c r="A206" s="9"/>
      <c r="B206" s="9"/>
      <c r="G206" s="21">
        <v>45440.0</v>
      </c>
      <c r="H206" s="22">
        <v>0.16666666666666666</v>
      </c>
      <c r="I206" s="23">
        <v>65.46</v>
      </c>
      <c r="J206" s="23">
        <v>21.13</v>
      </c>
      <c r="K206" s="23">
        <v>463.09</v>
      </c>
    </row>
    <row r="207">
      <c r="A207" s="9"/>
      <c r="B207" s="9"/>
      <c r="G207" s="21">
        <v>45440.0</v>
      </c>
      <c r="H207" s="22">
        <v>0.20833333333333334</v>
      </c>
      <c r="I207" s="23">
        <v>65.78</v>
      </c>
      <c r="J207" s="23">
        <v>20.82</v>
      </c>
      <c r="K207" s="23">
        <v>469.52</v>
      </c>
    </row>
    <row r="208">
      <c r="A208" s="9"/>
      <c r="B208" s="9"/>
      <c r="G208" s="21">
        <v>45440.0</v>
      </c>
      <c r="H208" s="22">
        <v>0.25</v>
      </c>
      <c r="I208" s="23">
        <v>66.22</v>
      </c>
      <c r="J208" s="23">
        <v>21.69</v>
      </c>
      <c r="K208" s="23">
        <v>473.75</v>
      </c>
    </row>
    <row r="209">
      <c r="A209" s="9"/>
      <c r="B209" s="9"/>
      <c r="G209" s="21">
        <v>45440.0</v>
      </c>
      <c r="H209" s="22">
        <v>0.2916666666666667</v>
      </c>
      <c r="I209" s="23">
        <v>65.8</v>
      </c>
      <c r="J209" s="23">
        <v>24.43</v>
      </c>
      <c r="K209" s="23">
        <v>471.64</v>
      </c>
    </row>
    <row r="210">
      <c r="A210" s="9"/>
      <c r="B210" s="9"/>
      <c r="G210" s="21">
        <v>45440.0</v>
      </c>
      <c r="H210" s="22">
        <v>0.3333333333333333</v>
      </c>
      <c r="I210" s="23">
        <v>63.44</v>
      </c>
      <c r="J210" s="23">
        <v>26.62</v>
      </c>
      <c r="K210" s="23">
        <v>465.77</v>
      </c>
    </row>
    <row r="211">
      <c r="A211" s="9"/>
      <c r="B211" s="9"/>
      <c r="G211" s="21">
        <v>45440.0</v>
      </c>
      <c r="H211" s="22">
        <v>0.375</v>
      </c>
      <c r="I211" s="23">
        <v>61.6</v>
      </c>
      <c r="J211" s="23">
        <v>26.79</v>
      </c>
      <c r="K211" s="23">
        <v>457.59</v>
      </c>
    </row>
    <row r="212">
      <c r="A212" s="9"/>
      <c r="B212" s="9"/>
      <c r="G212" s="21">
        <v>45440.0</v>
      </c>
      <c r="H212" s="22">
        <v>0.4166666666666667</v>
      </c>
      <c r="I212" s="23">
        <v>61.0</v>
      </c>
      <c r="J212" s="23">
        <v>27.06</v>
      </c>
      <c r="K212" s="23">
        <v>454.24</v>
      </c>
    </row>
    <row r="213">
      <c r="A213" s="9"/>
      <c r="B213" s="9"/>
      <c r="G213" s="21">
        <v>45440.0</v>
      </c>
      <c r="H213" s="22">
        <v>0.4583333333333333</v>
      </c>
      <c r="I213" s="23">
        <v>60.62</v>
      </c>
      <c r="J213" s="23">
        <v>26.85</v>
      </c>
      <c r="K213" s="23">
        <v>472.02</v>
      </c>
    </row>
    <row r="214">
      <c r="A214" s="9"/>
      <c r="B214" s="9"/>
      <c r="G214" s="21">
        <v>45440.0</v>
      </c>
      <c r="H214" s="22">
        <v>0.5</v>
      </c>
      <c r="I214" s="23">
        <v>58.56</v>
      </c>
      <c r="J214" s="23">
        <v>26.4</v>
      </c>
      <c r="K214" s="23">
        <v>450.71</v>
      </c>
    </row>
    <row r="215">
      <c r="A215" s="9"/>
      <c r="B215" s="9"/>
      <c r="G215" s="21">
        <v>45440.0</v>
      </c>
      <c r="H215" s="22">
        <v>0.5416666666666666</v>
      </c>
      <c r="I215" s="23">
        <v>56.45</v>
      </c>
      <c r="J215" s="23">
        <v>26.27</v>
      </c>
      <c r="K215" s="23">
        <v>440.76</v>
      </c>
    </row>
    <row r="216">
      <c r="A216" s="9"/>
      <c r="B216" s="9"/>
      <c r="G216" s="21">
        <v>45440.0</v>
      </c>
      <c r="H216" s="22">
        <v>0.5833333333333334</v>
      </c>
      <c r="I216" s="23">
        <v>56.82</v>
      </c>
      <c r="J216" s="23">
        <v>24.99</v>
      </c>
      <c r="K216" s="23">
        <v>437.9</v>
      </c>
    </row>
    <row r="217">
      <c r="A217" s="9"/>
      <c r="B217" s="9"/>
      <c r="G217" s="21">
        <v>45440.0</v>
      </c>
      <c r="H217" s="22">
        <v>0.625</v>
      </c>
      <c r="I217" s="23">
        <v>57.4</v>
      </c>
      <c r="J217" s="23">
        <v>25.01</v>
      </c>
      <c r="K217" s="23">
        <v>436.72</v>
      </c>
    </row>
    <row r="218">
      <c r="A218" s="9"/>
      <c r="B218" s="9"/>
      <c r="G218" s="21">
        <v>45440.0</v>
      </c>
      <c r="H218" s="22">
        <v>0.6666666666666666</v>
      </c>
      <c r="I218" s="23">
        <v>58.35</v>
      </c>
      <c r="J218" s="23">
        <v>24.86</v>
      </c>
      <c r="K218" s="23">
        <v>435.26</v>
      </c>
    </row>
    <row r="219">
      <c r="A219" s="9"/>
      <c r="B219" s="9"/>
      <c r="G219" s="21">
        <v>45440.0</v>
      </c>
      <c r="H219" s="22">
        <v>0.7083333333333334</v>
      </c>
      <c r="I219" s="23">
        <v>58.45</v>
      </c>
      <c r="J219" s="23">
        <v>25.03</v>
      </c>
      <c r="K219" s="23">
        <v>436.77</v>
      </c>
    </row>
    <row r="220">
      <c r="A220" s="9"/>
      <c r="B220" s="9"/>
      <c r="G220" s="21">
        <v>45440.0</v>
      </c>
      <c r="H220" s="22">
        <v>0.75</v>
      </c>
      <c r="I220" s="23">
        <v>60.05</v>
      </c>
      <c r="J220" s="23">
        <v>21.46</v>
      </c>
      <c r="K220" s="23">
        <v>429.92</v>
      </c>
    </row>
    <row r="221">
      <c r="A221" s="9"/>
      <c r="B221" s="9"/>
      <c r="G221" s="21">
        <v>45440.0</v>
      </c>
      <c r="H221" s="22">
        <v>0.7916666666666666</v>
      </c>
      <c r="I221" s="23">
        <v>60.81</v>
      </c>
      <c r="J221" s="23">
        <v>21.72</v>
      </c>
      <c r="K221" s="23">
        <v>434.14</v>
      </c>
    </row>
    <row r="222">
      <c r="A222" s="9"/>
      <c r="B222" s="9"/>
      <c r="G222" s="21">
        <v>45440.0</v>
      </c>
      <c r="H222" s="22">
        <v>0.8333333333333334</v>
      </c>
      <c r="I222" s="23">
        <v>60.66</v>
      </c>
      <c r="J222" s="23">
        <v>23.13</v>
      </c>
      <c r="K222" s="23">
        <v>434.15</v>
      </c>
    </row>
    <row r="223">
      <c r="A223" s="9"/>
      <c r="B223" s="9"/>
      <c r="G223" s="21">
        <v>45440.0</v>
      </c>
      <c r="H223" s="22">
        <v>0.875</v>
      </c>
      <c r="I223" s="23">
        <v>60.27</v>
      </c>
      <c r="J223" s="23">
        <v>22.88</v>
      </c>
      <c r="K223" s="23">
        <v>433.49</v>
      </c>
    </row>
    <row r="224">
      <c r="A224" s="9"/>
      <c r="B224" s="9"/>
      <c r="G224" s="21">
        <v>45440.0</v>
      </c>
      <c r="H224" s="22">
        <v>0.9166666666666666</v>
      </c>
      <c r="I224" s="23">
        <v>60.27</v>
      </c>
      <c r="J224" s="23">
        <v>22.28</v>
      </c>
      <c r="K224" s="23">
        <v>440.0</v>
      </c>
    </row>
    <row r="225">
      <c r="A225" s="9"/>
      <c r="B225" s="9"/>
      <c r="G225" s="21">
        <v>45440.0</v>
      </c>
      <c r="H225" s="22">
        <v>0.9583333333333334</v>
      </c>
      <c r="I225" s="23">
        <v>60.63</v>
      </c>
      <c r="J225" s="23">
        <v>21.64</v>
      </c>
      <c r="K225" s="23">
        <v>444.13</v>
      </c>
    </row>
    <row r="226">
      <c r="A226" s="9"/>
      <c r="B226" s="9"/>
      <c r="G226" s="21">
        <v>45441.0</v>
      </c>
      <c r="H226" s="22">
        <v>0.0</v>
      </c>
      <c r="I226" s="23">
        <v>61.14</v>
      </c>
      <c r="J226" s="23">
        <v>21.1</v>
      </c>
      <c r="K226" s="23">
        <v>450.43</v>
      </c>
    </row>
    <row r="227">
      <c r="A227" s="9"/>
      <c r="B227" s="9"/>
      <c r="G227" s="21">
        <v>45441.0</v>
      </c>
      <c r="H227" s="22">
        <v>0.041666666666666664</v>
      </c>
      <c r="I227" s="23">
        <v>61.59</v>
      </c>
      <c r="J227" s="23">
        <v>20.71</v>
      </c>
      <c r="K227" s="23">
        <v>453.53</v>
      </c>
    </row>
    <row r="228">
      <c r="A228" s="9"/>
      <c r="B228" s="9"/>
      <c r="G228" s="21">
        <v>45441.0</v>
      </c>
      <c r="H228" s="22">
        <v>0.08333333333333333</v>
      </c>
      <c r="I228" s="23">
        <v>62.17</v>
      </c>
      <c r="J228" s="23">
        <v>20.27</v>
      </c>
      <c r="K228" s="23">
        <v>460.06</v>
      </c>
    </row>
    <row r="229">
      <c r="A229" s="9"/>
      <c r="B229" s="9"/>
      <c r="G229" s="21">
        <v>45441.0</v>
      </c>
      <c r="H229" s="22">
        <v>0.125</v>
      </c>
      <c r="I229" s="23">
        <v>62.76</v>
      </c>
      <c r="J229" s="23">
        <v>19.68</v>
      </c>
      <c r="K229" s="23">
        <v>466.69</v>
      </c>
    </row>
    <row r="230">
      <c r="A230" s="9"/>
      <c r="B230" s="9"/>
      <c r="G230" s="21">
        <v>45441.0</v>
      </c>
      <c r="H230" s="22">
        <v>0.16666666666666666</v>
      </c>
      <c r="I230" s="23">
        <v>63.56</v>
      </c>
      <c r="J230" s="23">
        <v>19.05</v>
      </c>
      <c r="K230" s="23">
        <v>478.42</v>
      </c>
    </row>
    <row r="231">
      <c r="A231" s="9"/>
      <c r="B231" s="9"/>
      <c r="G231" s="21">
        <v>45441.0</v>
      </c>
      <c r="H231" s="22">
        <v>0.20833333333333334</v>
      </c>
      <c r="I231" s="23">
        <v>64.15</v>
      </c>
      <c r="J231" s="23">
        <v>18.78</v>
      </c>
      <c r="K231" s="23">
        <v>482.3</v>
      </c>
    </row>
    <row r="232">
      <c r="A232" s="9"/>
      <c r="B232" s="9"/>
      <c r="G232" s="21">
        <v>45441.0</v>
      </c>
      <c r="H232" s="22">
        <v>0.25</v>
      </c>
      <c r="I232" s="23">
        <v>64.31</v>
      </c>
      <c r="J232" s="23">
        <v>19.49</v>
      </c>
      <c r="K232" s="23">
        <v>480.9</v>
      </c>
    </row>
    <row r="233">
      <c r="A233" s="9"/>
      <c r="B233" s="9"/>
      <c r="G233" s="21">
        <v>45441.0</v>
      </c>
      <c r="H233" s="22">
        <v>0.2916666666666667</v>
      </c>
      <c r="I233" s="23">
        <v>63.44</v>
      </c>
      <c r="J233" s="23">
        <v>22.36</v>
      </c>
      <c r="K233" s="23">
        <v>467.22</v>
      </c>
    </row>
    <row r="234">
      <c r="A234" s="9"/>
      <c r="B234" s="9"/>
      <c r="G234" s="21">
        <v>45441.0</v>
      </c>
      <c r="H234" s="22">
        <v>0.3333333333333333</v>
      </c>
      <c r="I234" s="23">
        <v>62.18</v>
      </c>
      <c r="J234" s="23">
        <v>22.96</v>
      </c>
      <c r="K234" s="23">
        <v>452.12</v>
      </c>
    </row>
    <row r="235">
      <c r="A235" s="9"/>
      <c r="B235" s="9"/>
      <c r="G235" s="21">
        <v>45441.0</v>
      </c>
      <c r="H235" s="22">
        <v>0.375</v>
      </c>
      <c r="I235" s="23">
        <v>62.39</v>
      </c>
      <c r="J235" s="23">
        <v>22.33</v>
      </c>
      <c r="K235" s="23">
        <v>450.92</v>
      </c>
    </row>
    <row r="236">
      <c r="A236" s="9"/>
      <c r="B236" s="9"/>
      <c r="G236" s="21">
        <v>45441.0</v>
      </c>
      <c r="H236" s="22">
        <v>0.4166666666666667</v>
      </c>
      <c r="I236" s="23">
        <v>61.05</v>
      </c>
      <c r="J236" s="23">
        <v>23.78</v>
      </c>
      <c r="K236" s="23">
        <v>449.34</v>
      </c>
    </row>
    <row r="237">
      <c r="A237" s="9"/>
      <c r="B237" s="9"/>
      <c r="G237" s="21">
        <v>45441.0</v>
      </c>
      <c r="H237" s="22">
        <v>0.4583333333333333</v>
      </c>
      <c r="I237" s="23">
        <v>59.55</v>
      </c>
      <c r="J237" s="23">
        <v>24.64</v>
      </c>
      <c r="K237" s="23">
        <v>449.29</v>
      </c>
    </row>
    <row r="238">
      <c r="A238" s="9"/>
      <c r="B238" s="9"/>
      <c r="G238" s="21">
        <v>45441.0</v>
      </c>
      <c r="H238" s="22">
        <v>0.5</v>
      </c>
      <c r="I238" s="23">
        <v>58.5</v>
      </c>
      <c r="J238" s="23">
        <v>24.68</v>
      </c>
      <c r="K238" s="23">
        <v>444.76</v>
      </c>
    </row>
    <row r="239">
      <c r="A239" s="9"/>
      <c r="B239" s="9"/>
      <c r="G239" s="21">
        <v>45441.0</v>
      </c>
      <c r="H239" s="22">
        <v>0.5416666666666666</v>
      </c>
      <c r="I239" s="23">
        <v>57.33</v>
      </c>
      <c r="J239" s="23">
        <v>25.53</v>
      </c>
      <c r="K239" s="23">
        <v>438.96</v>
      </c>
    </row>
    <row r="240">
      <c r="A240" s="9"/>
      <c r="B240" s="9"/>
      <c r="G240" s="21">
        <v>45441.0</v>
      </c>
      <c r="H240" s="22">
        <v>0.5833333333333334</v>
      </c>
      <c r="I240" s="23">
        <v>56.93</v>
      </c>
      <c r="J240" s="23">
        <v>25.35</v>
      </c>
      <c r="K240" s="23">
        <v>437.29</v>
      </c>
    </row>
    <row r="241">
      <c r="A241" s="9"/>
      <c r="B241" s="9"/>
      <c r="G241" s="21">
        <v>45441.0</v>
      </c>
      <c r="H241" s="22">
        <v>0.625</v>
      </c>
      <c r="I241" s="23">
        <v>57.46</v>
      </c>
      <c r="J241" s="23">
        <v>24.22</v>
      </c>
      <c r="K241" s="23">
        <v>435.35</v>
      </c>
    </row>
    <row r="242">
      <c r="A242" s="9"/>
      <c r="B242" s="9"/>
      <c r="G242" s="21">
        <v>45441.0</v>
      </c>
      <c r="H242" s="22">
        <v>0.6666666666666666</v>
      </c>
      <c r="I242" s="23">
        <v>58.65</v>
      </c>
      <c r="J242" s="23">
        <v>23.66</v>
      </c>
      <c r="K242" s="23">
        <v>433.44</v>
      </c>
    </row>
    <row r="243">
      <c r="A243" s="9"/>
      <c r="B243" s="9"/>
      <c r="G243" s="21">
        <v>45441.0</v>
      </c>
      <c r="H243" s="22">
        <v>0.7083333333333334</v>
      </c>
      <c r="I243" s="23">
        <v>59.84</v>
      </c>
      <c r="J243" s="23">
        <v>21.85</v>
      </c>
      <c r="K243" s="23">
        <v>428.68</v>
      </c>
    </row>
    <row r="244">
      <c r="A244" s="9"/>
      <c r="B244" s="9"/>
      <c r="G244" s="21">
        <v>45441.0</v>
      </c>
      <c r="H244" s="22">
        <v>0.75</v>
      </c>
      <c r="I244" s="23">
        <v>60.91</v>
      </c>
      <c r="J244" s="23">
        <v>20.66</v>
      </c>
      <c r="K244" s="23">
        <v>430.52</v>
      </c>
    </row>
    <row r="245">
      <c r="A245" s="9"/>
      <c r="B245" s="9"/>
      <c r="G245" s="21">
        <v>45441.0</v>
      </c>
      <c r="H245" s="22">
        <v>0.7916666666666666</v>
      </c>
      <c r="I245" s="23">
        <v>62.17</v>
      </c>
      <c r="J245" s="23">
        <v>19.88</v>
      </c>
      <c r="K245" s="23">
        <v>439.33</v>
      </c>
    </row>
    <row r="246">
      <c r="A246" s="9"/>
      <c r="B246" s="9"/>
      <c r="G246" s="21">
        <v>45441.0</v>
      </c>
      <c r="H246" s="22">
        <v>0.8333333333333334</v>
      </c>
      <c r="I246" s="23">
        <v>62.96</v>
      </c>
      <c r="J246" s="23">
        <v>19.23</v>
      </c>
      <c r="K246" s="23">
        <v>445.16</v>
      </c>
    </row>
    <row r="247">
      <c r="A247" s="9"/>
      <c r="B247" s="9"/>
      <c r="G247" s="21">
        <v>45441.0</v>
      </c>
      <c r="H247" s="22">
        <v>0.875</v>
      </c>
      <c r="I247" s="23">
        <v>63.76</v>
      </c>
      <c r="J247" s="23">
        <v>18.58</v>
      </c>
      <c r="K247" s="23">
        <v>456.21</v>
      </c>
    </row>
    <row r="248">
      <c r="A248" s="9"/>
      <c r="B248" s="9"/>
      <c r="G248" s="21">
        <v>45441.0</v>
      </c>
      <c r="H248" s="22">
        <v>0.9166666666666666</v>
      </c>
      <c r="I248" s="23">
        <v>64.54</v>
      </c>
      <c r="J248" s="23">
        <v>18.25</v>
      </c>
      <c r="K248" s="23">
        <v>462.39</v>
      </c>
    </row>
    <row r="249">
      <c r="A249" s="9"/>
      <c r="B249" s="9"/>
      <c r="G249" s="21">
        <v>45441.0</v>
      </c>
      <c r="H249" s="22">
        <v>0.9583333333333334</v>
      </c>
      <c r="I249" s="23">
        <v>65.28</v>
      </c>
      <c r="J249" s="23">
        <v>17.88</v>
      </c>
      <c r="K249" s="23">
        <v>466.79</v>
      </c>
    </row>
    <row r="250">
      <c r="A250" s="9"/>
      <c r="B250" s="9"/>
      <c r="G250" s="21">
        <v>45442.0</v>
      </c>
      <c r="H250" s="22">
        <v>0.0</v>
      </c>
      <c r="I250" s="23">
        <v>66.27</v>
      </c>
      <c r="J250" s="23">
        <v>17.97</v>
      </c>
      <c r="K250" s="23">
        <v>469.01</v>
      </c>
    </row>
    <row r="251">
      <c r="A251" s="9"/>
      <c r="B251" s="9"/>
      <c r="G251" s="21">
        <v>45442.0</v>
      </c>
      <c r="H251" s="22">
        <v>0.041666666666666664</v>
      </c>
      <c r="I251" s="23">
        <v>66.33</v>
      </c>
      <c r="J251" s="23">
        <v>18.7</v>
      </c>
      <c r="K251" s="23">
        <v>472.04</v>
      </c>
    </row>
    <row r="252">
      <c r="A252" s="9"/>
      <c r="B252" s="9"/>
      <c r="G252" s="21">
        <v>45442.0</v>
      </c>
      <c r="H252" s="22">
        <v>0.08333333333333333</v>
      </c>
      <c r="I252" s="23">
        <v>65.36</v>
      </c>
      <c r="J252" s="23">
        <v>19.38</v>
      </c>
      <c r="K252" s="23">
        <v>474.21</v>
      </c>
    </row>
    <row r="253">
      <c r="A253" s="9"/>
      <c r="B253" s="9"/>
      <c r="G253" s="21">
        <v>45442.0</v>
      </c>
      <c r="H253" s="22">
        <v>0.125</v>
      </c>
      <c r="I253" s="23">
        <v>65.14</v>
      </c>
      <c r="J253" s="23">
        <v>19.33</v>
      </c>
      <c r="K253" s="23">
        <v>476.37</v>
      </c>
    </row>
    <row r="254">
      <c r="A254" s="9"/>
      <c r="B254" s="9"/>
      <c r="G254" s="21">
        <v>45442.0</v>
      </c>
      <c r="H254" s="22">
        <v>0.16666666666666666</v>
      </c>
      <c r="I254" s="23">
        <v>65.18</v>
      </c>
      <c r="J254" s="23">
        <v>19.1</v>
      </c>
      <c r="K254" s="23">
        <v>477.1</v>
      </c>
    </row>
    <row r="255">
      <c r="A255" s="9"/>
      <c r="B255" s="9"/>
      <c r="G255" s="21">
        <v>45442.0</v>
      </c>
      <c r="H255" s="22">
        <v>0.20833333333333334</v>
      </c>
      <c r="I255" s="23">
        <v>65.51</v>
      </c>
      <c r="J255" s="23">
        <v>18.73</v>
      </c>
      <c r="K255" s="23">
        <v>478.59</v>
      </c>
    </row>
    <row r="256">
      <c r="A256" s="9"/>
      <c r="B256" s="9"/>
      <c r="G256" s="21">
        <v>45442.0</v>
      </c>
      <c r="H256" s="22">
        <v>0.25</v>
      </c>
      <c r="I256" s="23">
        <v>65.02</v>
      </c>
      <c r="J256" s="23">
        <v>19.56</v>
      </c>
      <c r="K256" s="23">
        <v>475.14</v>
      </c>
    </row>
    <row r="257">
      <c r="A257" s="9"/>
      <c r="B257" s="9"/>
      <c r="G257" s="21">
        <v>45442.0</v>
      </c>
      <c r="H257" s="22">
        <v>0.2916666666666667</v>
      </c>
      <c r="I257" s="23">
        <v>63.64</v>
      </c>
      <c r="J257" s="23">
        <v>21.9</v>
      </c>
      <c r="K257" s="23">
        <v>457.83</v>
      </c>
    </row>
    <row r="258">
      <c r="A258" s="9"/>
      <c r="B258" s="9"/>
      <c r="G258" s="21">
        <v>45442.0</v>
      </c>
      <c r="H258" s="22">
        <v>0.3333333333333333</v>
      </c>
      <c r="I258" s="23">
        <v>63.01</v>
      </c>
      <c r="J258" s="23">
        <v>22.58</v>
      </c>
      <c r="K258" s="23">
        <v>446.83</v>
      </c>
    </row>
    <row r="259">
      <c r="A259" s="9"/>
      <c r="B259" s="9"/>
      <c r="G259" s="21">
        <v>45442.0</v>
      </c>
      <c r="H259" s="22">
        <v>0.375</v>
      </c>
      <c r="I259" s="23">
        <v>63.17</v>
      </c>
      <c r="J259" s="23">
        <v>22.41</v>
      </c>
      <c r="K259" s="23">
        <v>443.32</v>
      </c>
    </row>
    <row r="260">
      <c r="A260" s="9"/>
      <c r="B260" s="9"/>
      <c r="G260" s="21">
        <v>45442.0</v>
      </c>
      <c r="H260" s="22">
        <v>0.4166666666666667</v>
      </c>
      <c r="I260" s="23">
        <v>61.69</v>
      </c>
      <c r="J260" s="23">
        <v>23.25</v>
      </c>
      <c r="K260" s="23">
        <v>441.6</v>
      </c>
    </row>
    <row r="261">
      <c r="A261" s="9"/>
      <c r="B261" s="9"/>
      <c r="G261" s="21">
        <v>45442.0</v>
      </c>
      <c r="H261" s="22">
        <v>0.4583333333333333</v>
      </c>
      <c r="I261" s="23">
        <v>59.94</v>
      </c>
      <c r="J261" s="23">
        <v>23.82</v>
      </c>
      <c r="K261" s="23">
        <v>448.18</v>
      </c>
    </row>
    <row r="262">
      <c r="A262" s="9"/>
      <c r="B262" s="9"/>
      <c r="G262" s="21">
        <v>45442.0</v>
      </c>
      <c r="H262" s="22">
        <v>0.5</v>
      </c>
      <c r="I262" s="23">
        <v>58.13</v>
      </c>
      <c r="J262" s="23">
        <v>24.76</v>
      </c>
      <c r="K262" s="23">
        <v>445.37</v>
      </c>
    </row>
    <row r="263">
      <c r="A263" s="9"/>
      <c r="B263" s="9"/>
      <c r="G263" s="21">
        <v>45442.0</v>
      </c>
      <c r="H263" s="22">
        <v>0.5416666666666666</v>
      </c>
      <c r="I263" s="23">
        <v>55.66</v>
      </c>
      <c r="J263" s="23">
        <v>27.74</v>
      </c>
      <c r="K263" s="23">
        <v>441.49</v>
      </c>
    </row>
    <row r="264">
      <c r="A264" s="9"/>
      <c r="B264" s="9"/>
      <c r="G264" s="21">
        <v>45442.0</v>
      </c>
      <c r="H264" s="22">
        <v>0.5833333333333334</v>
      </c>
      <c r="I264" s="23">
        <v>54.91</v>
      </c>
      <c r="J264" s="23">
        <v>27.26</v>
      </c>
      <c r="K264" s="23">
        <v>436.93</v>
      </c>
    </row>
    <row r="265">
      <c r="A265" s="9"/>
      <c r="B265" s="9"/>
      <c r="G265" s="21">
        <v>45442.0</v>
      </c>
      <c r="H265" s="22">
        <v>0.625</v>
      </c>
      <c r="I265" s="23">
        <v>55.41</v>
      </c>
      <c r="J265" s="23">
        <v>26.88</v>
      </c>
      <c r="K265" s="23">
        <v>434.44</v>
      </c>
    </row>
    <row r="266">
      <c r="A266" s="9"/>
      <c r="B266" s="9"/>
      <c r="G266" s="21">
        <v>45442.0</v>
      </c>
      <c r="H266" s="22">
        <v>0.6666666666666666</v>
      </c>
      <c r="I266" s="23">
        <v>55.56</v>
      </c>
      <c r="J266" s="23">
        <v>27.27</v>
      </c>
      <c r="K266" s="23">
        <v>433.24</v>
      </c>
    </row>
    <row r="267">
      <c r="A267" s="9"/>
      <c r="B267" s="9"/>
      <c r="G267" s="21">
        <v>45442.0</v>
      </c>
      <c r="H267" s="22">
        <v>0.7083333333333334</v>
      </c>
      <c r="I267" s="23">
        <v>56.01</v>
      </c>
      <c r="J267" s="23">
        <v>27.39</v>
      </c>
      <c r="K267" s="23">
        <v>433.12</v>
      </c>
    </row>
    <row r="268">
      <c r="A268" s="9"/>
      <c r="B268" s="9"/>
      <c r="G268" s="21">
        <v>45442.0</v>
      </c>
      <c r="H268" s="22">
        <v>0.75</v>
      </c>
      <c r="I268" s="23">
        <v>55.84</v>
      </c>
      <c r="J268" s="23">
        <v>27.89</v>
      </c>
      <c r="K268" s="23">
        <v>432.2</v>
      </c>
    </row>
    <row r="269">
      <c r="A269" s="9"/>
      <c r="B269" s="9"/>
      <c r="G269" s="21">
        <v>45442.0</v>
      </c>
      <c r="H269" s="22">
        <v>0.7916666666666666</v>
      </c>
      <c r="I269" s="23">
        <v>56.82</v>
      </c>
      <c r="J269" s="23">
        <v>26.66</v>
      </c>
      <c r="K269" s="23">
        <v>434.8</v>
      </c>
    </row>
    <row r="270">
      <c r="A270" s="9"/>
      <c r="B270" s="9"/>
      <c r="G270" s="21">
        <v>45442.0</v>
      </c>
      <c r="H270" s="22">
        <v>0.8333333333333334</v>
      </c>
      <c r="I270" s="23">
        <v>58.8</v>
      </c>
      <c r="J270" s="23">
        <v>24.52</v>
      </c>
      <c r="K270" s="23">
        <v>438.54</v>
      </c>
    </row>
    <row r="271">
      <c r="A271" s="9"/>
      <c r="B271" s="9"/>
      <c r="G271" s="21">
        <v>45442.0</v>
      </c>
      <c r="H271" s="22">
        <v>0.875</v>
      </c>
      <c r="I271" s="23">
        <v>60.0</v>
      </c>
      <c r="J271" s="23">
        <v>23.01</v>
      </c>
      <c r="K271" s="23">
        <v>438.07</v>
      </c>
    </row>
    <row r="272">
      <c r="A272" s="9"/>
      <c r="B272" s="9"/>
      <c r="G272" s="21">
        <v>45442.0</v>
      </c>
      <c r="H272" s="22">
        <v>0.9166666666666666</v>
      </c>
      <c r="I272" s="23">
        <v>60.77</v>
      </c>
      <c r="J272" s="23">
        <v>22.4</v>
      </c>
      <c r="K272" s="23">
        <v>440.66</v>
      </c>
    </row>
    <row r="273">
      <c r="A273" s="9"/>
      <c r="B273" s="9"/>
      <c r="G273" s="21">
        <v>45442.0</v>
      </c>
      <c r="H273" s="22">
        <v>0.9583333333333334</v>
      </c>
      <c r="I273" s="23">
        <v>61.86</v>
      </c>
      <c r="J273" s="23">
        <v>22.09</v>
      </c>
      <c r="K273" s="23">
        <v>442.21</v>
      </c>
    </row>
    <row r="274">
      <c r="A274" s="9"/>
      <c r="B274" s="9"/>
      <c r="G274" s="21">
        <v>45443.0</v>
      </c>
      <c r="H274" s="22">
        <v>0.0</v>
      </c>
      <c r="I274" s="23">
        <v>62.55</v>
      </c>
      <c r="J274" s="23">
        <v>21.59</v>
      </c>
      <c r="K274" s="23">
        <v>446.41</v>
      </c>
    </row>
    <row r="275">
      <c r="A275" s="9"/>
      <c r="B275" s="9"/>
      <c r="G275" s="21">
        <v>45443.0</v>
      </c>
      <c r="H275" s="22">
        <v>0.041666666666666664</v>
      </c>
      <c r="I275" s="23">
        <v>63.25</v>
      </c>
      <c r="J275" s="23">
        <v>21.03</v>
      </c>
      <c r="K275" s="23">
        <v>450.36</v>
      </c>
    </row>
    <row r="276">
      <c r="A276" s="9"/>
      <c r="B276" s="9"/>
      <c r="G276" s="21">
        <v>45443.0</v>
      </c>
      <c r="H276" s="22">
        <v>0.08333333333333333</v>
      </c>
      <c r="I276" s="23">
        <v>63.94</v>
      </c>
      <c r="J276" s="23">
        <v>20.44</v>
      </c>
      <c r="K276" s="23">
        <v>455.1</v>
      </c>
    </row>
    <row r="277">
      <c r="A277" s="9"/>
      <c r="B277" s="9"/>
      <c r="G277" s="21">
        <v>45443.0</v>
      </c>
      <c r="H277" s="22">
        <v>0.125</v>
      </c>
      <c r="I277" s="23">
        <v>64.44</v>
      </c>
      <c r="J277" s="23">
        <v>19.7</v>
      </c>
      <c r="K277" s="23">
        <v>463.52</v>
      </c>
    </row>
    <row r="278">
      <c r="A278" s="9"/>
      <c r="B278" s="9"/>
      <c r="G278" s="21">
        <v>45443.0</v>
      </c>
      <c r="H278" s="22">
        <v>0.16666666666666666</v>
      </c>
      <c r="I278" s="23">
        <v>64.97</v>
      </c>
      <c r="J278" s="23">
        <v>19.54</v>
      </c>
      <c r="K278" s="23">
        <v>474.89</v>
      </c>
    </row>
    <row r="279">
      <c r="A279" s="9"/>
      <c r="B279" s="9"/>
      <c r="G279" s="21">
        <v>45443.0</v>
      </c>
      <c r="H279" s="22">
        <v>0.20833333333333334</v>
      </c>
      <c r="I279" s="23">
        <v>65.3</v>
      </c>
      <c r="J279" s="23">
        <v>19.43</v>
      </c>
      <c r="K279" s="23">
        <v>478.31</v>
      </c>
    </row>
    <row r="280">
      <c r="A280" s="9"/>
      <c r="B280" s="9"/>
      <c r="G280" s="21">
        <v>45443.0</v>
      </c>
      <c r="H280" s="22">
        <v>0.25</v>
      </c>
      <c r="I280" s="23">
        <v>65.81</v>
      </c>
      <c r="J280" s="23">
        <v>20.59</v>
      </c>
      <c r="K280" s="23">
        <v>479.33</v>
      </c>
    </row>
    <row r="281">
      <c r="A281" s="9"/>
      <c r="B281" s="9"/>
      <c r="G281" s="21">
        <v>45443.0</v>
      </c>
      <c r="H281" s="22">
        <v>0.2916666666666667</v>
      </c>
      <c r="I281" s="23">
        <v>64.67</v>
      </c>
      <c r="J281" s="23">
        <v>25.03</v>
      </c>
      <c r="K281" s="23">
        <v>472.5</v>
      </c>
    </row>
    <row r="282">
      <c r="A282" s="9"/>
      <c r="B282" s="9"/>
      <c r="G282" s="21">
        <v>45443.0</v>
      </c>
      <c r="H282" s="22">
        <v>0.3333333333333333</v>
      </c>
      <c r="I282" s="23">
        <v>61.56</v>
      </c>
      <c r="J282" s="23">
        <v>27.29</v>
      </c>
      <c r="K282" s="23">
        <v>462.55</v>
      </c>
    </row>
    <row r="283">
      <c r="A283" s="9"/>
      <c r="B283" s="9"/>
      <c r="G283" s="21">
        <v>45443.0</v>
      </c>
      <c r="H283" s="22">
        <v>0.375</v>
      </c>
      <c r="I283" s="23">
        <v>58.33</v>
      </c>
      <c r="J283" s="23">
        <v>27.89</v>
      </c>
      <c r="K283" s="23">
        <v>451.68</v>
      </c>
    </row>
    <row r="284">
      <c r="A284" s="9"/>
      <c r="B284" s="9"/>
      <c r="G284" s="21">
        <v>45443.0</v>
      </c>
      <c r="H284" s="22">
        <v>0.4166666666666667</v>
      </c>
      <c r="I284" s="23">
        <v>55.76</v>
      </c>
      <c r="J284" s="23">
        <v>28.18</v>
      </c>
      <c r="K284" s="23">
        <v>443.48</v>
      </c>
    </row>
    <row r="285">
      <c r="A285" s="9"/>
      <c r="B285" s="9"/>
      <c r="G285" s="21">
        <v>45443.0</v>
      </c>
      <c r="H285" s="22">
        <v>0.4583333333333333</v>
      </c>
      <c r="I285" s="23">
        <v>53.91</v>
      </c>
      <c r="J285" s="23">
        <v>27.39</v>
      </c>
      <c r="K285" s="23">
        <v>442.96</v>
      </c>
    </row>
    <row r="286">
      <c r="A286" s="9"/>
      <c r="B286" s="9"/>
      <c r="G286" s="21">
        <v>45443.0</v>
      </c>
      <c r="H286" s="22">
        <v>0.5</v>
      </c>
      <c r="I286" s="23">
        <v>53.27</v>
      </c>
      <c r="J286" s="23">
        <v>26.62</v>
      </c>
      <c r="K286" s="23">
        <v>438.43</v>
      </c>
    </row>
    <row r="287">
      <c r="A287" s="9"/>
      <c r="B287" s="9"/>
      <c r="G287" s="21">
        <v>45443.0</v>
      </c>
      <c r="H287" s="22">
        <v>0.5416666666666666</v>
      </c>
      <c r="I287" s="23">
        <v>53.69</v>
      </c>
      <c r="J287" s="23">
        <v>25.03</v>
      </c>
      <c r="K287" s="23">
        <v>435.54</v>
      </c>
    </row>
    <row r="288">
      <c r="A288" s="9"/>
      <c r="B288" s="9"/>
      <c r="G288" s="21">
        <v>45443.0</v>
      </c>
      <c r="H288" s="22">
        <v>0.5833333333333334</v>
      </c>
      <c r="I288" s="23">
        <v>53.95</v>
      </c>
      <c r="J288" s="23">
        <v>24.84</v>
      </c>
      <c r="K288" s="23">
        <v>434.77</v>
      </c>
    </row>
    <row r="289">
      <c r="A289" s="9"/>
      <c r="B289" s="9"/>
      <c r="G289" s="21">
        <v>45443.0</v>
      </c>
      <c r="H289" s="22">
        <v>0.625</v>
      </c>
      <c r="I289" s="23">
        <v>54.63</v>
      </c>
      <c r="J289" s="23">
        <v>24.73</v>
      </c>
      <c r="K289" s="23">
        <v>434.68</v>
      </c>
    </row>
    <row r="290">
      <c r="A290" s="9"/>
      <c r="B290" s="9"/>
      <c r="G290" s="21">
        <v>45443.0</v>
      </c>
      <c r="H290" s="22">
        <v>0.6666666666666666</v>
      </c>
      <c r="I290" s="23">
        <v>55.58</v>
      </c>
      <c r="J290" s="23">
        <v>25.86</v>
      </c>
      <c r="K290" s="23">
        <v>435.5</v>
      </c>
    </row>
    <row r="291">
      <c r="A291" s="9"/>
      <c r="B291" s="9"/>
      <c r="G291" s="21">
        <v>45443.0</v>
      </c>
      <c r="H291" s="22">
        <v>0.7083333333333334</v>
      </c>
      <c r="I291" s="23">
        <v>55.33</v>
      </c>
      <c r="J291" s="23">
        <v>26.73</v>
      </c>
      <c r="K291" s="23">
        <v>438.41</v>
      </c>
    </row>
    <row r="292">
      <c r="A292" s="9"/>
      <c r="B292" s="9"/>
      <c r="G292" s="21">
        <v>45443.0</v>
      </c>
      <c r="H292" s="22">
        <v>0.75</v>
      </c>
      <c r="I292" s="23">
        <v>55.89</v>
      </c>
      <c r="J292" s="23">
        <v>27.21</v>
      </c>
      <c r="K292" s="23">
        <v>437.82</v>
      </c>
    </row>
    <row r="293">
      <c r="A293" s="9"/>
      <c r="B293" s="9"/>
      <c r="G293" s="21">
        <v>45443.0</v>
      </c>
      <c r="H293" s="22">
        <v>0.7916666666666666</v>
      </c>
      <c r="I293" s="23">
        <v>56.21</v>
      </c>
      <c r="J293" s="23">
        <v>27.44</v>
      </c>
      <c r="K293" s="23">
        <v>439.35</v>
      </c>
    </row>
    <row r="294">
      <c r="A294" s="9"/>
      <c r="B294" s="9"/>
      <c r="G294" s="21">
        <v>45443.0</v>
      </c>
      <c r="H294" s="22">
        <v>0.8333333333333334</v>
      </c>
      <c r="I294" s="23">
        <v>57.32</v>
      </c>
      <c r="J294" s="23">
        <v>26.25</v>
      </c>
      <c r="K294" s="23">
        <v>441.12</v>
      </c>
    </row>
    <row r="295">
      <c r="A295" s="9"/>
      <c r="B295" s="9"/>
      <c r="G295" s="21">
        <v>45443.0</v>
      </c>
      <c r="H295" s="22">
        <v>0.875</v>
      </c>
      <c r="I295" s="23">
        <v>58.36</v>
      </c>
      <c r="J295" s="23">
        <v>25.36</v>
      </c>
      <c r="K295" s="23">
        <v>444.84</v>
      </c>
    </row>
    <row r="296">
      <c r="A296" s="9"/>
      <c r="B296" s="9"/>
      <c r="G296" s="21">
        <v>45443.0</v>
      </c>
      <c r="H296" s="22">
        <v>0.9166666666666666</v>
      </c>
      <c r="I296" s="23">
        <v>59.09</v>
      </c>
      <c r="J296" s="23">
        <v>24.51</v>
      </c>
      <c r="K296" s="23">
        <v>446.55</v>
      </c>
    </row>
    <row r="297">
      <c r="A297" s="9"/>
      <c r="B297" s="9"/>
      <c r="G297" s="21">
        <v>45443.0</v>
      </c>
      <c r="H297" s="22">
        <v>0.9583333333333334</v>
      </c>
      <c r="I297" s="23">
        <v>59.7</v>
      </c>
      <c r="J297" s="23">
        <v>23.7</v>
      </c>
      <c r="K297" s="23">
        <v>447.87</v>
      </c>
    </row>
    <row r="298">
      <c r="A298" s="9"/>
      <c r="B298" s="9"/>
      <c r="G298" s="21">
        <v>45444.0</v>
      </c>
      <c r="H298" s="22">
        <v>0.0</v>
      </c>
      <c r="I298" s="23">
        <v>60.36</v>
      </c>
      <c r="J298" s="23">
        <v>23.15</v>
      </c>
      <c r="K298" s="23">
        <v>449.42</v>
      </c>
    </row>
    <row r="299">
      <c r="A299" s="9"/>
      <c r="B299" s="9"/>
      <c r="G299" s="21">
        <v>45444.0</v>
      </c>
      <c r="H299" s="22">
        <v>0.041666666666666664</v>
      </c>
      <c r="I299" s="23">
        <v>61.01</v>
      </c>
      <c r="J299" s="23">
        <v>22.76</v>
      </c>
      <c r="K299" s="23">
        <v>449.46</v>
      </c>
    </row>
    <row r="300">
      <c r="A300" s="9"/>
      <c r="B300" s="9"/>
      <c r="G300" s="21">
        <v>45444.0</v>
      </c>
      <c r="H300" s="22">
        <v>0.08333333333333333</v>
      </c>
      <c r="I300" s="23">
        <v>61.82</v>
      </c>
      <c r="J300" s="23">
        <v>22.41</v>
      </c>
      <c r="K300" s="23">
        <v>450.09</v>
      </c>
    </row>
    <row r="301">
      <c r="A301" s="9"/>
      <c r="B301" s="9"/>
      <c r="G301" s="21">
        <v>45444.0</v>
      </c>
      <c r="H301" s="22">
        <v>0.125</v>
      </c>
      <c r="I301" s="23">
        <v>62.58</v>
      </c>
      <c r="J301" s="23">
        <v>22.15</v>
      </c>
      <c r="K301" s="23">
        <v>454.39</v>
      </c>
    </row>
    <row r="302">
      <c r="A302" s="9"/>
      <c r="B302" s="9"/>
      <c r="G302" s="21">
        <v>45444.0</v>
      </c>
      <c r="H302" s="22">
        <v>0.16666666666666666</v>
      </c>
      <c r="I302" s="23">
        <v>63.35</v>
      </c>
      <c r="J302" s="23">
        <v>21.88</v>
      </c>
      <c r="K302" s="23">
        <v>459.57</v>
      </c>
    </row>
    <row r="303">
      <c r="A303" s="9"/>
      <c r="B303" s="9"/>
      <c r="G303" s="21">
        <v>45444.0</v>
      </c>
      <c r="H303" s="22">
        <v>0.20833333333333334</v>
      </c>
      <c r="I303" s="23">
        <v>63.71</v>
      </c>
      <c r="J303" s="23">
        <v>21.45</v>
      </c>
      <c r="K303" s="23">
        <v>469.54</v>
      </c>
    </row>
    <row r="304">
      <c r="A304" s="9"/>
      <c r="B304" s="9"/>
      <c r="G304" s="21">
        <v>45444.0</v>
      </c>
      <c r="H304" s="22">
        <v>0.25</v>
      </c>
      <c r="I304" s="23">
        <v>63.83</v>
      </c>
      <c r="J304" s="23">
        <v>22.06</v>
      </c>
      <c r="K304" s="23">
        <v>482.2</v>
      </c>
    </row>
    <row r="305">
      <c r="A305" s="9"/>
      <c r="B305" s="9"/>
      <c r="G305" s="21">
        <v>45444.0</v>
      </c>
      <c r="H305" s="22">
        <v>0.2916666666666667</v>
      </c>
      <c r="I305" s="23">
        <v>62.08</v>
      </c>
      <c r="J305" s="23">
        <v>25.74</v>
      </c>
      <c r="K305" s="23">
        <v>488.26</v>
      </c>
    </row>
    <row r="306">
      <c r="A306" s="9"/>
      <c r="B306" s="9"/>
      <c r="G306" s="21">
        <v>45444.0</v>
      </c>
      <c r="H306" s="22">
        <v>0.3333333333333333</v>
      </c>
      <c r="I306" s="23">
        <v>58.59</v>
      </c>
      <c r="J306" s="23">
        <v>27.26</v>
      </c>
      <c r="K306" s="23">
        <v>471.73</v>
      </c>
    </row>
    <row r="307">
      <c r="A307" s="9"/>
      <c r="B307" s="9"/>
      <c r="G307" s="21">
        <v>45444.0</v>
      </c>
      <c r="H307" s="22">
        <v>0.375</v>
      </c>
      <c r="I307" s="23">
        <v>56.23</v>
      </c>
      <c r="J307" s="23">
        <v>27.62</v>
      </c>
      <c r="K307" s="23">
        <v>455.44</v>
      </c>
    </row>
    <row r="308">
      <c r="A308" s="9"/>
      <c r="B308" s="9"/>
      <c r="G308" s="21">
        <v>45444.0</v>
      </c>
      <c r="H308" s="22">
        <v>0.4166666666666667</v>
      </c>
      <c r="I308" s="23">
        <v>55.12</v>
      </c>
      <c r="J308" s="23">
        <v>25.61</v>
      </c>
      <c r="K308" s="23">
        <v>447.63</v>
      </c>
    </row>
    <row r="309">
      <c r="A309" s="9"/>
      <c r="B309" s="9"/>
      <c r="G309" s="21">
        <v>45444.0</v>
      </c>
      <c r="H309" s="22">
        <v>0.4583333333333333</v>
      </c>
      <c r="I309" s="23">
        <v>53.89</v>
      </c>
      <c r="J309" s="23">
        <v>26.22</v>
      </c>
      <c r="K309" s="23">
        <v>445.09</v>
      </c>
    </row>
    <row r="310">
      <c r="A310" s="9"/>
      <c r="B310" s="9"/>
      <c r="G310" s="21">
        <v>45444.0</v>
      </c>
      <c r="H310" s="22">
        <v>0.5</v>
      </c>
      <c r="I310" s="23">
        <v>52.61</v>
      </c>
      <c r="J310" s="23">
        <v>26.87</v>
      </c>
      <c r="K310" s="23">
        <v>443.47</v>
      </c>
    </row>
    <row r="311">
      <c r="A311" s="9"/>
      <c r="B311" s="9"/>
      <c r="G311" s="21">
        <v>45444.0</v>
      </c>
      <c r="H311" s="22">
        <v>0.5416666666666666</v>
      </c>
      <c r="I311" s="23">
        <v>52.13</v>
      </c>
      <c r="J311" s="23">
        <v>27.55</v>
      </c>
      <c r="K311" s="23">
        <v>439.1</v>
      </c>
    </row>
    <row r="312">
      <c r="A312" s="9"/>
      <c r="B312" s="9"/>
      <c r="G312" s="21">
        <v>45444.0</v>
      </c>
      <c r="H312" s="22">
        <v>0.5833333333333334</v>
      </c>
      <c r="I312" s="23">
        <v>52.24</v>
      </c>
      <c r="J312" s="23">
        <v>26.44</v>
      </c>
      <c r="K312" s="23">
        <v>435.76</v>
      </c>
    </row>
    <row r="313">
      <c r="A313" s="9"/>
      <c r="B313" s="9"/>
      <c r="G313" s="21">
        <v>45444.0</v>
      </c>
      <c r="H313" s="22">
        <v>0.625</v>
      </c>
      <c r="I313" s="23">
        <v>52.96</v>
      </c>
      <c r="J313" s="23">
        <v>25.97</v>
      </c>
      <c r="K313" s="23">
        <v>434.34</v>
      </c>
    </row>
    <row r="314">
      <c r="A314" s="9"/>
      <c r="B314" s="9"/>
      <c r="G314" s="21">
        <v>45444.0</v>
      </c>
      <c r="H314" s="22">
        <v>0.6666666666666666</v>
      </c>
      <c r="I314" s="23">
        <v>54.15</v>
      </c>
      <c r="J314" s="23">
        <v>24.85</v>
      </c>
      <c r="K314" s="23">
        <v>431.8</v>
      </c>
    </row>
    <row r="315">
      <c r="A315" s="9"/>
      <c r="B315" s="9"/>
      <c r="G315" s="21">
        <v>45444.0</v>
      </c>
      <c r="H315" s="22">
        <v>0.7083333333333334</v>
      </c>
      <c r="I315" s="23">
        <v>55.29</v>
      </c>
      <c r="J315" s="23">
        <v>24.19</v>
      </c>
      <c r="K315" s="23">
        <v>432.72</v>
      </c>
    </row>
    <row r="316">
      <c r="A316" s="9"/>
      <c r="B316" s="9"/>
      <c r="G316" s="21">
        <v>45444.0</v>
      </c>
      <c r="H316" s="22">
        <v>0.75</v>
      </c>
      <c r="I316" s="23">
        <v>55.08</v>
      </c>
      <c r="J316" s="23">
        <v>26.51</v>
      </c>
      <c r="K316" s="23">
        <v>439.17</v>
      </c>
    </row>
    <row r="317">
      <c r="A317" s="9"/>
      <c r="B317" s="9"/>
      <c r="G317" s="21">
        <v>45444.0</v>
      </c>
      <c r="H317" s="22">
        <v>0.7916666666666666</v>
      </c>
      <c r="I317" s="23">
        <v>55.2</v>
      </c>
      <c r="J317" s="23">
        <v>28.31</v>
      </c>
      <c r="K317" s="23">
        <v>440.61</v>
      </c>
    </row>
    <row r="318">
      <c r="A318" s="9"/>
      <c r="B318" s="9"/>
      <c r="G318" s="21">
        <v>45444.0</v>
      </c>
      <c r="H318" s="22">
        <v>0.8333333333333334</v>
      </c>
      <c r="I318" s="23">
        <v>56.11</v>
      </c>
      <c r="J318" s="23">
        <v>27.18</v>
      </c>
      <c r="K318" s="23">
        <v>442.95</v>
      </c>
    </row>
    <row r="319">
      <c r="A319" s="9"/>
      <c r="B319" s="9"/>
      <c r="G319" s="21">
        <v>45444.0</v>
      </c>
      <c r="H319" s="22">
        <v>0.875</v>
      </c>
      <c r="I319" s="23">
        <v>57.17</v>
      </c>
      <c r="J319" s="23">
        <v>26.45</v>
      </c>
      <c r="K319" s="23">
        <v>443.3</v>
      </c>
    </row>
    <row r="320">
      <c r="A320" s="9"/>
      <c r="B320" s="9"/>
      <c r="G320" s="21">
        <v>45444.0</v>
      </c>
      <c r="H320" s="22">
        <v>0.9166666666666666</v>
      </c>
      <c r="I320" s="23">
        <v>57.72</v>
      </c>
      <c r="J320" s="23">
        <v>25.69</v>
      </c>
      <c r="K320" s="23">
        <v>445.34</v>
      </c>
    </row>
    <row r="321">
      <c r="A321" s="9"/>
      <c r="B321" s="9"/>
      <c r="G321" s="21">
        <v>45444.0</v>
      </c>
      <c r="H321" s="22">
        <v>0.9583333333333334</v>
      </c>
      <c r="I321" s="23">
        <v>58.19</v>
      </c>
      <c r="J321" s="23">
        <v>25.03</v>
      </c>
      <c r="K321" s="23">
        <v>445.13</v>
      </c>
    </row>
    <row r="322">
      <c r="A322" s="9"/>
      <c r="B322" s="9"/>
      <c r="G322" s="21">
        <v>45445.0</v>
      </c>
      <c r="H322" s="22">
        <v>0.0</v>
      </c>
      <c r="I322" s="23">
        <v>59.08</v>
      </c>
      <c r="J322" s="23">
        <v>24.23</v>
      </c>
      <c r="K322" s="23">
        <v>445.29</v>
      </c>
    </row>
    <row r="323">
      <c r="A323" s="9"/>
      <c r="B323" s="9"/>
      <c r="G323" s="21">
        <v>45445.0</v>
      </c>
      <c r="H323" s="22">
        <v>0.041666666666666664</v>
      </c>
      <c r="I323" s="23">
        <v>59.9</v>
      </c>
      <c r="J323" s="23">
        <v>23.57</v>
      </c>
      <c r="K323" s="23">
        <v>447.89</v>
      </c>
    </row>
    <row r="324">
      <c r="A324" s="9"/>
      <c r="B324" s="9"/>
      <c r="G324" s="21">
        <v>45445.0</v>
      </c>
      <c r="H324" s="22">
        <v>0.08333333333333333</v>
      </c>
      <c r="I324" s="23">
        <v>60.35</v>
      </c>
      <c r="J324" s="23">
        <v>23.24</v>
      </c>
      <c r="K324" s="23">
        <v>443.75</v>
      </c>
    </row>
    <row r="325">
      <c r="A325" s="9"/>
      <c r="B325" s="9"/>
      <c r="G325" s="21">
        <v>45445.0</v>
      </c>
      <c r="H325" s="22">
        <v>0.125</v>
      </c>
      <c r="I325" s="23">
        <v>60.21</v>
      </c>
      <c r="J325" s="23">
        <v>23.09</v>
      </c>
      <c r="K325" s="23">
        <v>446.61</v>
      </c>
    </row>
    <row r="326">
      <c r="A326" s="9"/>
      <c r="B326" s="9"/>
      <c r="G326" s="21">
        <v>45445.0</v>
      </c>
      <c r="H326" s="22">
        <v>0.16666666666666666</v>
      </c>
      <c r="I326" s="23">
        <v>60.07</v>
      </c>
      <c r="J326" s="23">
        <v>22.75</v>
      </c>
      <c r="K326" s="23">
        <v>443.34</v>
      </c>
    </row>
    <row r="327">
      <c r="A327" s="9"/>
      <c r="B327" s="9"/>
      <c r="G327" s="21">
        <v>45445.0</v>
      </c>
      <c r="H327" s="22">
        <v>0.20833333333333334</v>
      </c>
      <c r="I327" s="23">
        <v>60.33</v>
      </c>
      <c r="J327" s="23">
        <v>22.26</v>
      </c>
      <c r="K327" s="23">
        <v>444.02</v>
      </c>
    </row>
    <row r="328">
      <c r="A328" s="9"/>
      <c r="B328" s="9"/>
      <c r="G328" s="21">
        <v>45445.0</v>
      </c>
      <c r="H328" s="22">
        <v>0.25</v>
      </c>
      <c r="I328" s="23">
        <v>60.44</v>
      </c>
      <c r="J328" s="23">
        <v>23.24</v>
      </c>
      <c r="K328" s="23">
        <v>451.5</v>
      </c>
    </row>
    <row r="329">
      <c r="A329" s="9"/>
      <c r="B329" s="9"/>
      <c r="G329" s="21">
        <v>45445.0</v>
      </c>
      <c r="H329" s="22">
        <v>0.2916666666666667</v>
      </c>
      <c r="I329" s="23">
        <v>57.5</v>
      </c>
      <c r="J329" s="23">
        <v>26.83</v>
      </c>
      <c r="K329" s="23">
        <v>453.71</v>
      </c>
    </row>
    <row r="330">
      <c r="A330" s="9"/>
      <c r="B330" s="9"/>
      <c r="G330" s="21">
        <v>45445.0</v>
      </c>
      <c r="H330" s="22">
        <v>0.3333333333333333</v>
      </c>
      <c r="I330" s="23">
        <v>55.98</v>
      </c>
      <c r="J330" s="23">
        <v>27.78</v>
      </c>
      <c r="K330" s="23">
        <v>448.04</v>
      </c>
    </row>
    <row r="331">
      <c r="A331" s="9"/>
      <c r="B331" s="9"/>
      <c r="G331" s="21">
        <v>45445.0</v>
      </c>
      <c r="H331" s="22">
        <v>0.375</v>
      </c>
      <c r="I331" s="23">
        <v>54.42</v>
      </c>
      <c r="J331" s="23">
        <v>27.8</v>
      </c>
      <c r="K331" s="23">
        <v>442.44</v>
      </c>
    </row>
    <row r="332">
      <c r="A332" s="9"/>
      <c r="B332" s="9"/>
      <c r="G332" s="21">
        <v>45445.0</v>
      </c>
      <c r="H332" s="22">
        <v>0.4166666666666667</v>
      </c>
      <c r="I332" s="23">
        <v>53.4</v>
      </c>
      <c r="J332" s="23">
        <v>25.74</v>
      </c>
      <c r="K332" s="23">
        <v>434.72</v>
      </c>
    </row>
    <row r="333">
      <c r="A333" s="9"/>
      <c r="B333" s="9"/>
      <c r="G333" s="21">
        <v>45445.0</v>
      </c>
      <c r="H333" s="22">
        <v>0.4583333333333333</v>
      </c>
      <c r="I333" s="23">
        <v>52.84</v>
      </c>
      <c r="J333" s="23">
        <v>25.68</v>
      </c>
      <c r="K333" s="23">
        <v>433.76</v>
      </c>
    </row>
    <row r="334">
      <c r="A334" s="9"/>
      <c r="B334" s="9"/>
      <c r="G334" s="21">
        <v>45445.0</v>
      </c>
      <c r="H334" s="22">
        <v>0.5</v>
      </c>
      <c r="I334" s="23">
        <v>52.0</v>
      </c>
      <c r="J334" s="23">
        <v>27.43</v>
      </c>
      <c r="K334" s="23">
        <v>433.01</v>
      </c>
    </row>
    <row r="335">
      <c r="A335" s="9"/>
      <c r="B335" s="9"/>
      <c r="G335" s="21">
        <v>45445.0</v>
      </c>
      <c r="H335" s="22">
        <v>0.5416666666666666</v>
      </c>
      <c r="I335" s="23">
        <v>51.81</v>
      </c>
      <c r="J335" s="23">
        <v>27.76</v>
      </c>
      <c r="K335" s="23">
        <v>430.32</v>
      </c>
    </row>
    <row r="336">
      <c r="A336" s="9"/>
      <c r="B336" s="9"/>
      <c r="G336" s="21">
        <v>45445.0</v>
      </c>
      <c r="H336" s="22">
        <v>0.5833333333333334</v>
      </c>
      <c r="I336" s="23">
        <v>52.37</v>
      </c>
      <c r="J336" s="23">
        <v>27.15</v>
      </c>
      <c r="K336" s="23">
        <v>428.84</v>
      </c>
    </row>
    <row r="337">
      <c r="A337" s="9"/>
      <c r="B337" s="9"/>
      <c r="G337" s="21">
        <v>45445.0</v>
      </c>
      <c r="H337" s="22">
        <v>0.625</v>
      </c>
      <c r="I337" s="23">
        <v>53.38</v>
      </c>
      <c r="J337" s="23">
        <v>26.18</v>
      </c>
      <c r="K337" s="23">
        <v>425.8</v>
      </c>
    </row>
    <row r="338">
      <c r="A338" s="9"/>
      <c r="B338" s="9"/>
      <c r="G338" s="21">
        <v>45445.0</v>
      </c>
      <c r="H338" s="22">
        <v>0.6666666666666666</v>
      </c>
      <c r="I338" s="23">
        <v>54.87</v>
      </c>
      <c r="J338" s="23">
        <v>24.87</v>
      </c>
      <c r="K338" s="23">
        <v>424.46</v>
      </c>
    </row>
    <row r="339">
      <c r="A339" s="9"/>
      <c r="B339" s="9"/>
      <c r="G339" s="21">
        <v>45445.0</v>
      </c>
      <c r="H339" s="22">
        <v>0.7083333333333334</v>
      </c>
      <c r="I339" s="23">
        <v>55.32</v>
      </c>
      <c r="J339" s="23">
        <v>25.8</v>
      </c>
      <c r="K339" s="23">
        <v>424.15</v>
      </c>
    </row>
    <row r="340">
      <c r="A340" s="9"/>
      <c r="B340" s="9"/>
      <c r="G340" s="21">
        <v>45445.0</v>
      </c>
      <c r="H340" s="22">
        <v>0.75</v>
      </c>
      <c r="I340" s="23">
        <v>55.04</v>
      </c>
      <c r="J340" s="23">
        <v>27.99</v>
      </c>
      <c r="K340" s="23">
        <v>427.54</v>
      </c>
    </row>
    <row r="341">
      <c r="A341" s="9"/>
      <c r="B341" s="9"/>
      <c r="G341" s="21">
        <v>45445.0</v>
      </c>
      <c r="H341" s="22">
        <v>0.7916666666666666</v>
      </c>
      <c r="I341" s="23">
        <v>55.62</v>
      </c>
      <c r="J341" s="23">
        <v>27.7</v>
      </c>
      <c r="K341" s="23">
        <v>428.65</v>
      </c>
    </row>
    <row r="342">
      <c r="A342" s="9"/>
      <c r="B342" s="9"/>
      <c r="G342" s="21">
        <v>45445.0</v>
      </c>
      <c r="H342" s="22">
        <v>0.8333333333333334</v>
      </c>
      <c r="I342" s="23">
        <v>57.44</v>
      </c>
      <c r="J342" s="23">
        <v>25.97</v>
      </c>
      <c r="K342" s="23">
        <v>428.74</v>
      </c>
    </row>
    <row r="343">
      <c r="A343" s="9"/>
      <c r="B343" s="9"/>
      <c r="G343" s="21">
        <v>45445.0</v>
      </c>
      <c r="H343" s="22">
        <v>0.875</v>
      </c>
      <c r="I343" s="23">
        <v>58.91</v>
      </c>
      <c r="J343" s="23">
        <v>24.85</v>
      </c>
      <c r="K343" s="23">
        <v>434.1</v>
      </c>
    </row>
    <row r="344">
      <c r="A344" s="9"/>
      <c r="B344" s="9"/>
      <c r="G344" s="21">
        <v>45445.0</v>
      </c>
      <c r="H344" s="22">
        <v>0.9166666666666666</v>
      </c>
      <c r="I344" s="23">
        <v>59.84</v>
      </c>
      <c r="J344" s="23">
        <v>24.22</v>
      </c>
      <c r="K344" s="23">
        <v>443.14</v>
      </c>
    </row>
    <row r="345">
      <c r="A345" s="9"/>
      <c r="B345" s="9"/>
      <c r="G345" s="21">
        <v>45445.0</v>
      </c>
      <c r="H345" s="22">
        <v>0.9583333333333334</v>
      </c>
      <c r="I345" s="23">
        <v>61.12</v>
      </c>
      <c r="J345" s="23">
        <v>23.7</v>
      </c>
      <c r="K345" s="23">
        <v>445.13</v>
      </c>
    </row>
    <row r="346">
      <c r="A346" s="9"/>
      <c r="B346" s="9"/>
      <c r="G346" s="21">
        <v>45446.0</v>
      </c>
      <c r="H346" s="22">
        <v>0.0</v>
      </c>
      <c r="I346" s="23">
        <v>62.52</v>
      </c>
      <c r="J346" s="23">
        <v>23.12</v>
      </c>
      <c r="K346" s="23">
        <v>454.63</v>
      </c>
    </row>
    <row r="347">
      <c r="A347" s="9"/>
      <c r="B347" s="9"/>
      <c r="G347" s="21">
        <v>45446.0</v>
      </c>
      <c r="H347" s="22">
        <v>0.041666666666666664</v>
      </c>
      <c r="I347" s="23">
        <v>63.69</v>
      </c>
      <c r="J347" s="23">
        <v>22.74</v>
      </c>
      <c r="K347" s="23">
        <v>464.24</v>
      </c>
    </row>
    <row r="348">
      <c r="A348" s="9"/>
      <c r="B348" s="9"/>
      <c r="G348" s="21">
        <v>45446.0</v>
      </c>
      <c r="H348" s="22">
        <v>0.08333333333333333</v>
      </c>
      <c r="I348" s="23">
        <v>64.53</v>
      </c>
      <c r="J348" s="23">
        <v>22.42</v>
      </c>
      <c r="K348" s="23">
        <v>468.41</v>
      </c>
    </row>
    <row r="349">
      <c r="A349" s="9"/>
      <c r="B349" s="9"/>
      <c r="G349" s="21">
        <v>45446.0</v>
      </c>
      <c r="H349" s="22">
        <v>0.125</v>
      </c>
      <c r="I349" s="23">
        <v>65.29</v>
      </c>
      <c r="J349" s="23">
        <v>22.04</v>
      </c>
      <c r="K349" s="23">
        <v>468.65</v>
      </c>
    </row>
    <row r="350">
      <c r="A350" s="9"/>
      <c r="B350" s="9"/>
      <c r="G350" s="21">
        <v>45446.0</v>
      </c>
      <c r="H350" s="22">
        <v>0.16666666666666666</v>
      </c>
      <c r="I350" s="23">
        <v>65.59</v>
      </c>
      <c r="J350" s="23">
        <v>21.54</v>
      </c>
      <c r="K350" s="23">
        <v>472.28</v>
      </c>
    </row>
    <row r="351">
      <c r="A351" s="9"/>
      <c r="B351" s="9"/>
      <c r="G351" s="21">
        <v>45446.0</v>
      </c>
      <c r="H351" s="22">
        <v>0.20833333333333334</v>
      </c>
      <c r="I351" s="23">
        <v>65.96</v>
      </c>
      <c r="J351" s="23">
        <v>21.39</v>
      </c>
      <c r="K351" s="23">
        <v>476.96</v>
      </c>
    </row>
    <row r="352">
      <c r="A352" s="9"/>
      <c r="B352" s="9"/>
      <c r="G352" s="21">
        <v>45446.0</v>
      </c>
      <c r="H352" s="22">
        <v>0.25</v>
      </c>
      <c r="I352" s="23">
        <v>66.62</v>
      </c>
      <c r="J352" s="23">
        <v>22.66</v>
      </c>
      <c r="K352" s="23">
        <v>481.41</v>
      </c>
    </row>
    <row r="353">
      <c r="A353" s="9"/>
      <c r="B353" s="9"/>
      <c r="G353" s="21">
        <v>45446.0</v>
      </c>
      <c r="H353" s="22">
        <v>0.2916666666666667</v>
      </c>
      <c r="I353" s="23">
        <v>65.73</v>
      </c>
      <c r="J353" s="23">
        <v>25.81</v>
      </c>
      <c r="K353" s="23">
        <v>477.67</v>
      </c>
    </row>
    <row r="354">
      <c r="A354" s="9"/>
      <c r="B354" s="9"/>
      <c r="G354" s="21">
        <v>45446.0</v>
      </c>
      <c r="H354" s="22">
        <v>0.3333333333333333</v>
      </c>
      <c r="I354" s="23">
        <v>64.23</v>
      </c>
      <c r="J354" s="23">
        <v>25.07</v>
      </c>
      <c r="K354" s="23">
        <v>466.75</v>
      </c>
    </row>
    <row r="355">
      <c r="A355" s="9"/>
      <c r="B355" s="9"/>
      <c r="G355" s="21">
        <v>45446.0</v>
      </c>
      <c r="H355" s="22">
        <v>0.375</v>
      </c>
      <c r="I355" s="23">
        <v>63.02</v>
      </c>
      <c r="J355" s="23">
        <v>25.17</v>
      </c>
      <c r="K355" s="23">
        <v>456.35</v>
      </c>
    </row>
    <row r="356">
      <c r="A356" s="9"/>
      <c r="B356" s="9"/>
      <c r="G356" s="21">
        <v>45446.0</v>
      </c>
      <c r="H356" s="22">
        <v>0.4166666666666667</v>
      </c>
      <c r="I356" s="23">
        <v>61.07</v>
      </c>
      <c r="J356" s="23">
        <v>26.29</v>
      </c>
      <c r="K356" s="23">
        <v>454.3</v>
      </c>
    </row>
    <row r="357">
      <c r="A357" s="9"/>
      <c r="B357" s="9"/>
      <c r="G357" s="21">
        <v>45446.0</v>
      </c>
      <c r="H357" s="22">
        <v>0.4583333333333333</v>
      </c>
      <c r="I357" s="23">
        <v>59.02</v>
      </c>
      <c r="J357" s="23">
        <v>27.52</v>
      </c>
      <c r="K357" s="23">
        <v>444.52</v>
      </c>
    </row>
    <row r="358">
      <c r="A358" s="9"/>
      <c r="B358" s="9"/>
      <c r="G358" s="21">
        <v>45446.0</v>
      </c>
      <c r="H358" s="22">
        <v>0.5</v>
      </c>
      <c r="I358" s="23">
        <v>57.15</v>
      </c>
      <c r="J358" s="23">
        <v>27.72</v>
      </c>
      <c r="K358" s="23">
        <v>436.31</v>
      </c>
    </row>
    <row r="359">
      <c r="A359" s="9"/>
      <c r="B359" s="9"/>
      <c r="G359" s="21">
        <v>45446.0</v>
      </c>
      <c r="H359" s="22">
        <v>0.5416666666666666</v>
      </c>
      <c r="I359" s="23">
        <v>56.18</v>
      </c>
      <c r="J359" s="23">
        <v>27.88</v>
      </c>
      <c r="K359" s="23">
        <v>429.22</v>
      </c>
    </row>
    <row r="360">
      <c r="A360" s="9"/>
      <c r="B360" s="9"/>
      <c r="G360" s="21">
        <v>45446.0</v>
      </c>
      <c r="H360" s="22">
        <v>0.5833333333333334</v>
      </c>
      <c r="I360" s="23">
        <v>56.33</v>
      </c>
      <c r="J360" s="23">
        <v>27.66</v>
      </c>
      <c r="K360" s="23">
        <v>428.32</v>
      </c>
    </row>
    <row r="361">
      <c r="A361" s="9"/>
      <c r="B361" s="9"/>
      <c r="G361" s="21">
        <v>45446.0</v>
      </c>
      <c r="H361" s="22">
        <v>0.625</v>
      </c>
      <c r="I361" s="23">
        <v>57.03</v>
      </c>
      <c r="J361" s="23">
        <v>26.56</v>
      </c>
      <c r="K361" s="23">
        <v>428.81</v>
      </c>
    </row>
    <row r="362">
      <c r="A362" s="9"/>
      <c r="B362" s="9"/>
      <c r="G362" s="21">
        <v>45446.0</v>
      </c>
      <c r="H362" s="22">
        <v>0.6666666666666666</v>
      </c>
      <c r="I362" s="23">
        <v>58.01</v>
      </c>
      <c r="J362" s="23">
        <v>25.51</v>
      </c>
      <c r="K362" s="23">
        <v>429.3</v>
      </c>
    </row>
    <row r="363">
      <c r="A363" s="9"/>
      <c r="B363" s="9"/>
      <c r="G363" s="21">
        <v>45447.0</v>
      </c>
      <c r="H363" s="22">
        <v>0.7083333333333334</v>
      </c>
      <c r="I363" s="23">
        <v>59.42</v>
      </c>
      <c r="J363" s="23">
        <v>25.33</v>
      </c>
      <c r="K363" s="23">
        <v>429.64</v>
      </c>
    </row>
    <row r="364">
      <c r="A364" s="9"/>
      <c r="B364" s="9"/>
      <c r="G364" s="21">
        <v>45447.0</v>
      </c>
      <c r="H364" s="22">
        <v>0.75</v>
      </c>
      <c r="I364" s="23">
        <v>60.62</v>
      </c>
      <c r="J364" s="23">
        <v>23.93</v>
      </c>
      <c r="K364" s="23">
        <v>427.33</v>
      </c>
    </row>
    <row r="365">
      <c r="A365" s="9"/>
      <c r="B365" s="9"/>
      <c r="G365" s="21">
        <v>45447.0</v>
      </c>
      <c r="H365" s="22">
        <v>0.7916666666666666</v>
      </c>
      <c r="I365" s="23">
        <v>61.02</v>
      </c>
      <c r="J365" s="23">
        <v>25.88</v>
      </c>
      <c r="K365" s="23">
        <v>429.66</v>
      </c>
    </row>
    <row r="366">
      <c r="A366" s="9"/>
      <c r="B366" s="9"/>
      <c r="G366" s="21">
        <v>45447.0</v>
      </c>
      <c r="H366" s="22">
        <v>0.8333333333333334</v>
      </c>
      <c r="I366" s="23">
        <v>61.08</v>
      </c>
      <c r="J366" s="23">
        <v>28.05</v>
      </c>
      <c r="K366" s="23">
        <v>436.62</v>
      </c>
    </row>
    <row r="367">
      <c r="A367" s="9"/>
      <c r="B367" s="9"/>
      <c r="G367" s="21">
        <v>45447.0</v>
      </c>
      <c r="H367" s="22">
        <v>0.875</v>
      </c>
      <c r="I367" s="23">
        <v>62.29</v>
      </c>
      <c r="J367" s="23">
        <v>27.24</v>
      </c>
      <c r="K367" s="23">
        <v>443.41</v>
      </c>
    </row>
    <row r="368">
      <c r="A368" s="9"/>
      <c r="B368" s="9"/>
      <c r="G368" s="21">
        <v>45447.0</v>
      </c>
      <c r="H368" s="22">
        <v>0.9166666666666666</v>
      </c>
      <c r="I368" s="23">
        <v>63.35</v>
      </c>
      <c r="J368" s="23">
        <v>26.28</v>
      </c>
      <c r="K368" s="23">
        <v>450.36</v>
      </c>
    </row>
    <row r="369">
      <c r="A369" s="9"/>
      <c r="B369" s="9"/>
      <c r="G369" s="21">
        <v>45447.0</v>
      </c>
      <c r="H369" s="22">
        <v>0.9583333333333334</v>
      </c>
      <c r="I369" s="23">
        <v>64.59</v>
      </c>
      <c r="J369" s="23">
        <v>25.27</v>
      </c>
      <c r="K369" s="23">
        <v>455.1</v>
      </c>
    </row>
    <row r="370">
      <c r="A370" s="9"/>
      <c r="B370" s="9"/>
      <c r="G370" s="21">
        <v>45448.0</v>
      </c>
      <c r="H370" s="22">
        <v>0.0</v>
      </c>
      <c r="I370" s="23">
        <v>66.1</v>
      </c>
      <c r="J370" s="23">
        <v>24.67</v>
      </c>
      <c r="K370" s="23">
        <v>457.52</v>
      </c>
    </row>
    <row r="371">
      <c r="A371" s="9"/>
      <c r="B371" s="9"/>
      <c r="G371" s="21">
        <v>45448.0</v>
      </c>
      <c r="H371" s="22">
        <v>0.041666666666666664</v>
      </c>
      <c r="I371" s="23">
        <v>67.34</v>
      </c>
      <c r="J371" s="23">
        <v>24.13</v>
      </c>
      <c r="K371" s="23">
        <v>458.41</v>
      </c>
    </row>
    <row r="372">
      <c r="A372" s="9"/>
      <c r="B372" s="9"/>
      <c r="G372" s="21">
        <v>45448.0</v>
      </c>
      <c r="H372" s="22">
        <v>0.08333333333333333</v>
      </c>
      <c r="I372" s="23">
        <v>67.94</v>
      </c>
      <c r="J372" s="23">
        <v>23.56</v>
      </c>
      <c r="K372" s="23">
        <v>470.54</v>
      </c>
    </row>
    <row r="373">
      <c r="A373" s="9"/>
      <c r="B373" s="9"/>
      <c r="G373" s="21">
        <v>45448.0</v>
      </c>
      <c r="H373" s="22">
        <v>0.125</v>
      </c>
      <c r="I373" s="23">
        <v>68.65</v>
      </c>
      <c r="J373" s="23">
        <v>22.9</v>
      </c>
      <c r="K373" s="23">
        <v>476.83</v>
      </c>
    </row>
    <row r="374">
      <c r="A374" s="9"/>
      <c r="B374" s="9"/>
      <c r="G374" s="21">
        <v>45448.0</v>
      </c>
      <c r="H374" s="22">
        <v>0.16666666666666666</v>
      </c>
      <c r="I374" s="23">
        <v>68.81</v>
      </c>
      <c r="J374" s="23">
        <v>22.37</v>
      </c>
      <c r="K374" s="23">
        <v>495.41</v>
      </c>
    </row>
    <row r="375">
      <c r="A375" s="9"/>
      <c r="B375" s="9"/>
      <c r="G375" s="21">
        <v>45448.0</v>
      </c>
      <c r="H375" s="22">
        <v>0.20833333333333334</v>
      </c>
      <c r="I375" s="23">
        <v>69.02</v>
      </c>
      <c r="J375" s="23">
        <v>21.99</v>
      </c>
      <c r="K375" s="23">
        <v>513.85</v>
      </c>
    </row>
    <row r="376">
      <c r="A376" s="9"/>
      <c r="B376" s="9"/>
      <c r="G376" s="21">
        <v>45448.0</v>
      </c>
      <c r="H376" s="22">
        <v>0.25</v>
      </c>
      <c r="I376" s="23">
        <v>69.7</v>
      </c>
      <c r="J376" s="23">
        <v>22.94</v>
      </c>
      <c r="K376" s="23">
        <v>524.52</v>
      </c>
    </row>
    <row r="377">
      <c r="A377" s="9"/>
      <c r="B377" s="9"/>
      <c r="G377" s="21">
        <v>45448.0</v>
      </c>
      <c r="H377" s="22">
        <v>0.2916666666666667</v>
      </c>
      <c r="I377" s="23">
        <v>68.24</v>
      </c>
      <c r="J377" s="23">
        <v>25.35</v>
      </c>
      <c r="K377" s="23">
        <v>518.52</v>
      </c>
    </row>
    <row r="378">
      <c r="A378" s="9"/>
      <c r="B378" s="9"/>
      <c r="G378" s="21">
        <v>45448.0</v>
      </c>
      <c r="H378" s="22">
        <v>0.3333333333333333</v>
      </c>
      <c r="I378" s="23">
        <v>67.69</v>
      </c>
      <c r="J378" s="23">
        <v>24.16</v>
      </c>
      <c r="K378" s="23">
        <v>478.23</v>
      </c>
    </row>
    <row r="379">
      <c r="A379" s="9"/>
      <c r="B379" s="9"/>
      <c r="G379" s="21">
        <v>45448.0</v>
      </c>
      <c r="H379" s="22">
        <v>0.375</v>
      </c>
      <c r="I379" s="23">
        <v>65.71</v>
      </c>
      <c r="J379" s="23">
        <v>26.12</v>
      </c>
      <c r="K379" s="23">
        <v>472.55</v>
      </c>
    </row>
    <row r="380">
      <c r="A380" s="9"/>
      <c r="B380" s="9"/>
      <c r="G380" s="21">
        <v>45448.0</v>
      </c>
      <c r="H380" s="22">
        <v>0.4166666666666667</v>
      </c>
      <c r="I380" s="23">
        <v>62.71</v>
      </c>
      <c r="J380" s="23">
        <v>27.69</v>
      </c>
      <c r="K380" s="23">
        <v>463.83</v>
      </c>
    </row>
    <row r="381">
      <c r="A381" s="9"/>
      <c r="B381" s="9"/>
      <c r="G381" s="21">
        <v>45448.0</v>
      </c>
      <c r="H381" s="22">
        <v>0.4583333333333333</v>
      </c>
      <c r="I381" s="23">
        <v>60.76</v>
      </c>
      <c r="J381" s="23">
        <v>28.48</v>
      </c>
      <c r="K381" s="23">
        <v>457.38</v>
      </c>
    </row>
    <row r="382">
      <c r="A382" s="9"/>
      <c r="B382" s="9"/>
      <c r="G382" s="21">
        <v>45448.0</v>
      </c>
      <c r="H382" s="22">
        <v>0.5</v>
      </c>
      <c r="I382" s="23">
        <v>58.81</v>
      </c>
      <c r="J382" s="23">
        <v>29.23</v>
      </c>
      <c r="K382" s="23">
        <v>461.05</v>
      </c>
    </row>
    <row r="383">
      <c r="A383" s="9"/>
      <c r="B383" s="9"/>
      <c r="G383" s="21">
        <v>45448.0</v>
      </c>
      <c r="H383" s="22">
        <v>0.5416666666666666</v>
      </c>
      <c r="I383" s="23">
        <v>57.95</v>
      </c>
      <c r="J383" s="23">
        <v>29.3</v>
      </c>
      <c r="K383" s="23">
        <v>448.11</v>
      </c>
    </row>
    <row r="384">
      <c r="A384" s="9"/>
      <c r="B384" s="9"/>
      <c r="G384" s="21">
        <v>45448.0</v>
      </c>
      <c r="H384" s="22">
        <v>0.5833333333333334</v>
      </c>
      <c r="I384" s="23">
        <v>57.67</v>
      </c>
      <c r="J384" s="23">
        <v>29.22</v>
      </c>
      <c r="K384" s="23">
        <v>439.31</v>
      </c>
    </row>
    <row r="385">
      <c r="A385" s="9"/>
      <c r="B385" s="9"/>
      <c r="G385" s="21">
        <v>45448.0</v>
      </c>
      <c r="H385" s="22">
        <v>0.625</v>
      </c>
      <c r="I385" s="23">
        <v>58.19</v>
      </c>
      <c r="J385" s="23">
        <v>28.26</v>
      </c>
      <c r="K385" s="23">
        <v>435.19</v>
      </c>
    </row>
    <row r="386">
      <c r="A386" s="9"/>
      <c r="B386" s="9"/>
      <c r="G386" s="21">
        <v>45448.0</v>
      </c>
      <c r="H386" s="22">
        <v>0.6666666666666666</v>
      </c>
      <c r="I386" s="23">
        <v>59.37</v>
      </c>
      <c r="J386" s="23">
        <v>27.56</v>
      </c>
      <c r="K386" s="23">
        <v>434.86</v>
      </c>
    </row>
    <row r="387">
      <c r="A387" s="9"/>
      <c r="B387" s="9"/>
      <c r="G387" s="21">
        <v>45448.0</v>
      </c>
      <c r="H387" s="22">
        <v>0.7083333333333334</v>
      </c>
      <c r="I387" s="23">
        <v>60.95</v>
      </c>
      <c r="J387" s="23">
        <v>25.94</v>
      </c>
      <c r="K387" s="23">
        <v>434.99</v>
      </c>
    </row>
    <row r="388">
      <c r="A388" s="9"/>
      <c r="B388" s="9"/>
      <c r="G388" s="21">
        <v>45448.0</v>
      </c>
      <c r="H388" s="22">
        <v>0.75</v>
      </c>
      <c r="I388" s="23">
        <v>62.62</v>
      </c>
      <c r="J388" s="23">
        <v>25.45</v>
      </c>
      <c r="K388" s="23">
        <v>435.18</v>
      </c>
    </row>
    <row r="389">
      <c r="A389" s="9"/>
      <c r="B389" s="9"/>
      <c r="G389" s="21">
        <v>45448.0</v>
      </c>
      <c r="H389" s="22">
        <v>0.7916666666666666</v>
      </c>
      <c r="I389" s="23">
        <v>64.05</v>
      </c>
      <c r="J389" s="23">
        <v>23.84</v>
      </c>
      <c r="K389" s="23">
        <v>435.86</v>
      </c>
    </row>
    <row r="390">
      <c r="A390" s="9"/>
      <c r="B390" s="9"/>
      <c r="G390" s="21">
        <v>45448.0</v>
      </c>
      <c r="H390" s="22">
        <v>0.8333333333333334</v>
      </c>
      <c r="I390" s="23">
        <v>64.86</v>
      </c>
      <c r="J390" s="23">
        <v>24.53</v>
      </c>
      <c r="K390" s="23">
        <v>440.21</v>
      </c>
    </row>
    <row r="391">
      <c r="A391" s="9"/>
      <c r="B391" s="9"/>
      <c r="G391" s="21">
        <v>45448.0</v>
      </c>
      <c r="H391" s="22">
        <v>0.875</v>
      </c>
      <c r="I391" s="23">
        <v>64.34</v>
      </c>
      <c r="J391" s="23">
        <v>26.54</v>
      </c>
      <c r="K391" s="23">
        <v>448.04</v>
      </c>
    </row>
    <row r="392">
      <c r="A392" s="9"/>
      <c r="B392" s="9"/>
      <c r="G392" s="21">
        <v>45448.0</v>
      </c>
      <c r="H392" s="22">
        <v>0.9166666666666666</v>
      </c>
      <c r="I392" s="23">
        <v>65.62</v>
      </c>
      <c r="J392" s="23">
        <v>25.2</v>
      </c>
      <c r="K392" s="23">
        <v>458.12</v>
      </c>
    </row>
    <row r="393">
      <c r="A393" s="9"/>
      <c r="B393" s="9"/>
      <c r="G393" s="21">
        <v>45448.0</v>
      </c>
      <c r="H393" s="22">
        <v>0.9583333333333334</v>
      </c>
      <c r="I393" s="23">
        <v>66.42</v>
      </c>
      <c r="J393" s="23">
        <v>24.51</v>
      </c>
      <c r="K393" s="23">
        <v>475.28</v>
      </c>
    </row>
    <row r="394">
      <c r="A394" s="9"/>
      <c r="B394" s="9"/>
      <c r="G394" s="21">
        <v>45449.0</v>
      </c>
      <c r="H394" s="22">
        <v>0.0</v>
      </c>
      <c r="I394" s="23">
        <v>67.26</v>
      </c>
      <c r="J394" s="23">
        <v>24.19</v>
      </c>
      <c r="K394" s="23">
        <v>481.67</v>
      </c>
    </row>
    <row r="395">
      <c r="A395" s="9"/>
      <c r="B395" s="9"/>
      <c r="G395" s="21">
        <v>45449.0</v>
      </c>
      <c r="H395" s="22">
        <v>0.041666666666666664</v>
      </c>
      <c r="I395" s="23">
        <v>68.22</v>
      </c>
      <c r="J395" s="23">
        <v>23.52</v>
      </c>
      <c r="K395" s="23">
        <v>487.61</v>
      </c>
    </row>
    <row r="396">
      <c r="A396" s="9"/>
      <c r="B396" s="9"/>
      <c r="G396" s="21">
        <v>45449.0</v>
      </c>
      <c r="H396" s="22">
        <v>0.08333333333333333</v>
      </c>
      <c r="I396" s="23">
        <v>68.94</v>
      </c>
      <c r="J396" s="23">
        <v>22.88</v>
      </c>
      <c r="K396" s="23">
        <v>503.21</v>
      </c>
    </row>
    <row r="397">
      <c r="A397" s="9"/>
      <c r="B397" s="9"/>
      <c r="G397" s="21">
        <v>45449.0</v>
      </c>
      <c r="H397" s="22">
        <v>0.125</v>
      </c>
      <c r="I397" s="23">
        <v>69.43</v>
      </c>
      <c r="J397" s="23">
        <v>22.62</v>
      </c>
      <c r="K397" s="23">
        <v>517.17</v>
      </c>
    </row>
    <row r="398">
      <c r="A398" s="9"/>
      <c r="B398" s="9"/>
      <c r="G398" s="21">
        <v>45449.0</v>
      </c>
      <c r="H398" s="22">
        <v>0.16666666666666666</v>
      </c>
      <c r="I398" s="23">
        <v>69.86</v>
      </c>
      <c r="J398" s="23">
        <v>22.27</v>
      </c>
      <c r="K398" s="23">
        <v>527.72</v>
      </c>
    </row>
    <row r="399">
      <c r="A399" s="9"/>
      <c r="B399" s="9"/>
      <c r="G399" s="21">
        <v>45449.0</v>
      </c>
      <c r="H399" s="22">
        <v>0.20833333333333334</v>
      </c>
      <c r="I399" s="23">
        <v>70.14</v>
      </c>
      <c r="J399" s="23">
        <v>21.9</v>
      </c>
      <c r="K399" s="23">
        <v>537.2</v>
      </c>
    </row>
    <row r="400">
      <c r="A400" s="9"/>
      <c r="B400" s="9"/>
      <c r="G400" s="21">
        <v>45449.0</v>
      </c>
      <c r="H400" s="22">
        <v>0.25</v>
      </c>
      <c r="I400" s="23">
        <v>70.29</v>
      </c>
      <c r="J400" s="23">
        <v>22.66</v>
      </c>
      <c r="K400" s="23">
        <v>551.48</v>
      </c>
    </row>
    <row r="401">
      <c r="A401" s="9"/>
      <c r="B401" s="9"/>
      <c r="G401" s="21">
        <v>45449.0</v>
      </c>
      <c r="H401" s="22">
        <v>0.2916666666666667</v>
      </c>
      <c r="I401" s="23">
        <v>68.64</v>
      </c>
      <c r="J401" s="23">
        <v>25.92</v>
      </c>
      <c r="K401" s="23">
        <v>541.84</v>
      </c>
    </row>
    <row r="402">
      <c r="A402" s="9"/>
      <c r="B402" s="9"/>
      <c r="G402" s="21">
        <v>45449.0</v>
      </c>
      <c r="H402" s="22">
        <v>0.3333333333333333</v>
      </c>
      <c r="I402" s="23">
        <v>67.65</v>
      </c>
      <c r="J402" s="23">
        <v>24.9</v>
      </c>
      <c r="K402" s="23">
        <v>502.75</v>
      </c>
    </row>
    <row r="403">
      <c r="A403" s="9"/>
      <c r="B403" s="9"/>
      <c r="G403" s="21">
        <v>45449.0</v>
      </c>
      <c r="H403" s="22">
        <v>0.375</v>
      </c>
      <c r="I403" s="23">
        <v>65.47</v>
      </c>
      <c r="J403" s="23">
        <v>26.82</v>
      </c>
      <c r="K403" s="23">
        <v>481.82</v>
      </c>
    </row>
    <row r="404">
      <c r="A404" s="9"/>
      <c r="B404" s="9"/>
      <c r="G404" s="21">
        <v>45449.0</v>
      </c>
      <c r="H404" s="22">
        <v>0.4166666666666667</v>
      </c>
      <c r="I404" s="23">
        <v>62.39</v>
      </c>
      <c r="J404" s="23">
        <v>28.11</v>
      </c>
      <c r="K404" s="23">
        <v>465.87</v>
      </c>
    </row>
    <row r="405">
      <c r="A405" s="9"/>
      <c r="B405" s="9"/>
      <c r="G405" s="21">
        <v>45449.0</v>
      </c>
      <c r="H405" s="22">
        <v>0.4583333333333333</v>
      </c>
      <c r="I405" s="23">
        <v>60.19</v>
      </c>
      <c r="J405" s="23">
        <v>28.63</v>
      </c>
      <c r="K405" s="23">
        <v>457.56</v>
      </c>
    </row>
    <row r="406">
      <c r="A406" s="9"/>
      <c r="B406" s="9"/>
      <c r="G406" s="21">
        <v>45449.0</v>
      </c>
      <c r="H406" s="22">
        <v>0.5</v>
      </c>
      <c r="I406" s="23">
        <v>57.96</v>
      </c>
      <c r="J406" s="23">
        <v>29.92</v>
      </c>
      <c r="K406" s="23">
        <v>452.92</v>
      </c>
    </row>
    <row r="407">
      <c r="A407" s="9"/>
      <c r="B407" s="9"/>
      <c r="G407" s="21">
        <v>45449.0</v>
      </c>
      <c r="H407" s="22">
        <v>0.5416666666666666</v>
      </c>
      <c r="I407" s="23">
        <v>56.76</v>
      </c>
      <c r="J407" s="23">
        <v>30.21</v>
      </c>
      <c r="K407" s="23">
        <v>448.75</v>
      </c>
    </row>
    <row r="408">
      <c r="A408" s="9"/>
      <c r="B408" s="9"/>
      <c r="G408" s="21">
        <v>45449.0</v>
      </c>
      <c r="H408" s="22">
        <v>0.5833333333333334</v>
      </c>
      <c r="I408" s="23">
        <v>56.48</v>
      </c>
      <c r="J408" s="23">
        <v>29.85</v>
      </c>
      <c r="K408" s="23">
        <v>440.08</v>
      </c>
    </row>
    <row r="409">
      <c r="A409" s="9"/>
      <c r="B409" s="9"/>
      <c r="G409" s="21">
        <v>45449.0</v>
      </c>
      <c r="H409" s="22">
        <v>0.625</v>
      </c>
      <c r="I409" s="23">
        <v>57.07</v>
      </c>
      <c r="J409" s="23">
        <v>28.91</v>
      </c>
      <c r="K409" s="23">
        <v>433.26</v>
      </c>
    </row>
    <row r="410">
      <c r="A410" s="9"/>
      <c r="B410" s="9"/>
      <c r="G410" s="21">
        <v>45449.0</v>
      </c>
      <c r="H410" s="22">
        <v>0.6666666666666666</v>
      </c>
      <c r="I410" s="23">
        <v>58.26</v>
      </c>
      <c r="J410" s="23">
        <v>27.96</v>
      </c>
      <c r="K410" s="23">
        <v>428.24</v>
      </c>
    </row>
    <row r="411">
      <c r="A411" s="9"/>
      <c r="B411" s="9"/>
      <c r="G411" s="21">
        <v>45450.0</v>
      </c>
      <c r="H411" s="22">
        <v>0.041666666666666664</v>
      </c>
      <c r="I411" s="23">
        <v>61.35</v>
      </c>
      <c r="J411" s="23">
        <v>25.7</v>
      </c>
      <c r="K411" s="23">
        <v>463.66</v>
      </c>
    </row>
    <row r="412">
      <c r="A412" s="9"/>
      <c r="B412" s="9"/>
      <c r="G412" s="21">
        <v>45450.0</v>
      </c>
      <c r="H412" s="22">
        <v>0.08333333333333333</v>
      </c>
      <c r="I412" s="23">
        <v>62.25</v>
      </c>
      <c r="J412" s="23">
        <v>24.5</v>
      </c>
      <c r="K412" s="23">
        <v>495.92</v>
      </c>
    </row>
    <row r="413">
      <c r="A413" s="9"/>
      <c r="B413" s="9"/>
      <c r="G413" s="21">
        <v>45450.0</v>
      </c>
      <c r="H413" s="22">
        <v>0.125</v>
      </c>
      <c r="I413" s="23">
        <v>62.69</v>
      </c>
      <c r="J413" s="23">
        <v>24.03</v>
      </c>
      <c r="K413" s="23">
        <v>497.1</v>
      </c>
    </row>
    <row r="414">
      <c r="A414" s="9"/>
      <c r="B414" s="9"/>
      <c r="G414" s="21">
        <v>45450.0</v>
      </c>
      <c r="H414" s="22">
        <v>0.16666666666666666</v>
      </c>
      <c r="I414" s="23">
        <v>63.41</v>
      </c>
      <c r="J414" s="23">
        <v>23.46</v>
      </c>
      <c r="K414" s="23">
        <v>490.53</v>
      </c>
    </row>
    <row r="415">
      <c r="A415" s="9"/>
      <c r="B415" s="9"/>
      <c r="G415" s="21">
        <v>45450.0</v>
      </c>
      <c r="H415" s="22">
        <v>0.20833333333333334</v>
      </c>
      <c r="I415" s="23">
        <v>64.01</v>
      </c>
      <c r="J415" s="23">
        <v>22.83</v>
      </c>
      <c r="K415" s="23">
        <v>506.13</v>
      </c>
    </row>
    <row r="416">
      <c r="A416" s="9"/>
      <c r="B416" s="9"/>
      <c r="G416" s="21">
        <v>45450.0</v>
      </c>
      <c r="H416" s="22">
        <v>0.25</v>
      </c>
      <c r="I416" s="23">
        <v>65.1</v>
      </c>
      <c r="J416" s="23">
        <v>23.95</v>
      </c>
      <c r="K416" s="23">
        <v>515.65</v>
      </c>
    </row>
    <row r="417">
      <c r="A417" s="9"/>
      <c r="B417" s="9"/>
      <c r="G417" s="21">
        <v>45450.0</v>
      </c>
      <c r="H417" s="22">
        <v>0.2916666666666667</v>
      </c>
      <c r="I417" s="23">
        <v>62.77</v>
      </c>
      <c r="J417" s="23">
        <v>27.39</v>
      </c>
      <c r="K417" s="23">
        <v>504.37</v>
      </c>
    </row>
    <row r="418">
      <c r="A418" s="9"/>
      <c r="B418" s="9"/>
      <c r="G418" s="21">
        <v>45450.0</v>
      </c>
      <c r="H418" s="22">
        <v>0.3333333333333333</v>
      </c>
      <c r="I418" s="23">
        <v>58.86</v>
      </c>
      <c r="J418" s="23">
        <v>30.69</v>
      </c>
      <c r="K418" s="23">
        <v>475.63</v>
      </c>
    </row>
    <row r="419">
      <c r="A419" s="9"/>
      <c r="B419" s="9"/>
      <c r="G419" s="21">
        <v>45450.0</v>
      </c>
      <c r="H419" s="22">
        <v>0.375</v>
      </c>
      <c r="I419" s="23">
        <v>57.24</v>
      </c>
      <c r="J419" s="23">
        <v>30.32</v>
      </c>
      <c r="K419" s="23">
        <v>459.21</v>
      </c>
    </row>
    <row r="420">
      <c r="A420" s="9"/>
      <c r="B420" s="9"/>
      <c r="G420" s="24">
        <v>45450.0</v>
      </c>
      <c r="H420" s="22">
        <v>0.4166666666666667</v>
      </c>
      <c r="I420" s="23">
        <v>57.47</v>
      </c>
      <c r="J420" s="23">
        <v>28.68</v>
      </c>
      <c r="K420" s="23">
        <v>448.84</v>
      </c>
    </row>
    <row r="421">
      <c r="A421" s="9"/>
      <c r="B421" s="9"/>
      <c r="G421" s="21">
        <v>45450.0</v>
      </c>
      <c r="H421" s="22">
        <v>0.4583333333333333</v>
      </c>
      <c r="I421" s="23">
        <v>55.85</v>
      </c>
      <c r="J421" s="23">
        <v>29.06</v>
      </c>
      <c r="K421" s="23">
        <v>443.2</v>
      </c>
    </row>
    <row r="422">
      <c r="A422" s="9"/>
      <c r="B422" s="9"/>
      <c r="G422" s="24">
        <v>45450.0</v>
      </c>
      <c r="H422" s="22">
        <v>0.5</v>
      </c>
      <c r="I422" s="23">
        <v>54.25</v>
      </c>
      <c r="J422" s="23">
        <v>30.1</v>
      </c>
      <c r="K422" s="23">
        <v>446.6</v>
      </c>
    </row>
    <row r="423">
      <c r="A423" s="9"/>
      <c r="B423" s="9"/>
      <c r="G423" s="21">
        <v>45450.0</v>
      </c>
      <c r="H423" s="22">
        <v>0.5416666666666666</v>
      </c>
      <c r="I423" s="23">
        <v>53.76</v>
      </c>
      <c r="J423" s="23">
        <v>30.56</v>
      </c>
      <c r="K423" s="23">
        <v>443.3</v>
      </c>
    </row>
    <row r="424">
      <c r="A424" s="9"/>
      <c r="B424" s="9"/>
      <c r="G424" s="21">
        <v>45450.0</v>
      </c>
      <c r="H424" s="22">
        <v>0.5833333333333334</v>
      </c>
      <c r="I424" s="23">
        <v>53.67</v>
      </c>
      <c r="J424" s="23">
        <v>30.06</v>
      </c>
      <c r="K424" s="23">
        <v>436.96</v>
      </c>
    </row>
    <row r="425">
      <c r="A425" s="9"/>
      <c r="B425" s="9"/>
      <c r="G425" s="21">
        <v>45450.0</v>
      </c>
      <c r="H425" s="22">
        <v>0.625</v>
      </c>
      <c r="I425" s="23">
        <v>54.1</v>
      </c>
      <c r="J425" s="23">
        <v>28.67</v>
      </c>
      <c r="K425" s="23">
        <v>424.66</v>
      </c>
    </row>
    <row r="426">
      <c r="A426" s="9"/>
      <c r="B426" s="9"/>
      <c r="G426" s="24">
        <v>45450.0</v>
      </c>
      <c r="H426" s="22">
        <v>0.6666666666666666</v>
      </c>
      <c r="I426" s="23">
        <v>55.16</v>
      </c>
      <c r="J426" s="23">
        <v>27.82</v>
      </c>
      <c r="K426" s="23">
        <v>419.34</v>
      </c>
    </row>
    <row r="427">
      <c r="A427" s="9"/>
      <c r="B427" s="9"/>
      <c r="G427" s="21">
        <v>45450.0</v>
      </c>
      <c r="H427" s="22">
        <v>0.7083333333333334</v>
      </c>
      <c r="I427" s="23">
        <v>56.15</v>
      </c>
      <c r="J427" s="23">
        <v>26.52</v>
      </c>
      <c r="K427" s="23">
        <v>417.62</v>
      </c>
    </row>
    <row r="428">
      <c r="A428" s="9"/>
      <c r="B428" s="9"/>
      <c r="G428" s="21">
        <v>45450.0</v>
      </c>
      <c r="H428" s="22">
        <v>0.75</v>
      </c>
      <c r="I428" s="23">
        <v>53.8</v>
      </c>
      <c r="J428" s="23">
        <v>30.53</v>
      </c>
      <c r="K428" s="23">
        <v>421.23</v>
      </c>
    </row>
    <row r="429">
      <c r="A429" s="9"/>
      <c r="B429" s="9"/>
      <c r="G429" s="21">
        <v>45450.0</v>
      </c>
      <c r="H429" s="22">
        <v>0.7916666666666666</v>
      </c>
      <c r="I429" s="23">
        <v>62.96</v>
      </c>
      <c r="J429" s="23">
        <v>24.68</v>
      </c>
      <c r="K429" s="23">
        <v>433.81</v>
      </c>
    </row>
    <row r="430">
      <c r="A430" s="9"/>
      <c r="B430" s="9"/>
      <c r="G430" s="21">
        <v>45450.0</v>
      </c>
      <c r="H430" s="22">
        <v>0.8333333333333334</v>
      </c>
      <c r="I430" s="23">
        <v>64.1</v>
      </c>
      <c r="J430" s="23">
        <v>23.37</v>
      </c>
      <c r="K430" s="23">
        <v>435.12</v>
      </c>
    </row>
    <row r="431">
      <c r="A431" s="9"/>
      <c r="B431" s="9"/>
      <c r="G431" s="21">
        <v>45450.0</v>
      </c>
      <c r="H431" s="22">
        <v>0.875</v>
      </c>
      <c r="I431" s="23">
        <v>62.84</v>
      </c>
      <c r="J431" s="23">
        <v>24.17</v>
      </c>
      <c r="K431" s="23">
        <v>433.03</v>
      </c>
    </row>
    <row r="432">
      <c r="A432" s="9"/>
      <c r="B432" s="9"/>
      <c r="G432" s="21">
        <v>45450.0</v>
      </c>
      <c r="H432" s="22">
        <v>0.9166666666666666</v>
      </c>
      <c r="I432" s="23">
        <v>63.6</v>
      </c>
      <c r="J432" s="23">
        <v>23.87</v>
      </c>
      <c r="K432" s="23">
        <v>436.75</v>
      </c>
    </row>
    <row r="433">
      <c r="A433" s="9"/>
      <c r="B433" s="9"/>
      <c r="G433" s="21">
        <v>45450.0</v>
      </c>
      <c r="H433" s="22">
        <v>0.9583333333333334</v>
      </c>
      <c r="I433" s="23">
        <v>63.3</v>
      </c>
      <c r="J433" s="23">
        <v>25.89</v>
      </c>
      <c r="K433" s="23">
        <v>448.34</v>
      </c>
    </row>
    <row r="434">
      <c r="A434" s="9"/>
      <c r="B434" s="9"/>
      <c r="G434" s="21">
        <v>45451.0</v>
      </c>
      <c r="H434" s="22">
        <v>0.08333333333333333</v>
      </c>
      <c r="I434" s="23">
        <v>65.73</v>
      </c>
      <c r="J434" s="23">
        <v>24.92</v>
      </c>
      <c r="K434" s="23">
        <v>482.56</v>
      </c>
    </row>
    <row r="435">
      <c r="A435" s="9"/>
      <c r="B435" s="9"/>
      <c r="C435" s="25"/>
      <c r="G435" s="21">
        <v>45451.0</v>
      </c>
      <c r="H435" s="22">
        <v>0.125</v>
      </c>
      <c r="I435" s="23">
        <v>66.62</v>
      </c>
      <c r="J435" s="23">
        <v>24.56</v>
      </c>
      <c r="K435" s="23">
        <v>486.77</v>
      </c>
    </row>
    <row r="436">
      <c r="A436" s="9"/>
      <c r="B436" s="9"/>
      <c r="E436" s="26"/>
      <c r="G436" s="21">
        <v>45451.0</v>
      </c>
      <c r="H436" s="22">
        <v>0.0</v>
      </c>
      <c r="I436" s="23">
        <v>64.27</v>
      </c>
      <c r="J436" s="23">
        <v>25.47</v>
      </c>
      <c r="K436" s="23">
        <v>466.54</v>
      </c>
    </row>
    <row r="437">
      <c r="A437" s="9"/>
      <c r="B437" s="9"/>
      <c r="E437" s="25"/>
      <c r="G437" s="21">
        <v>45451.0</v>
      </c>
      <c r="H437" s="22">
        <v>0.16666666666666666</v>
      </c>
      <c r="I437" s="23">
        <v>67.63</v>
      </c>
      <c r="J437" s="23">
        <v>23.95</v>
      </c>
      <c r="K437" s="23">
        <v>496.68</v>
      </c>
    </row>
    <row r="438">
      <c r="A438" s="9"/>
      <c r="B438" s="9"/>
      <c r="E438" s="25"/>
      <c r="G438" s="21">
        <v>45451.0</v>
      </c>
      <c r="H438" s="22">
        <v>0.3333333333333333</v>
      </c>
      <c r="I438" s="23">
        <v>63.85</v>
      </c>
      <c r="J438" s="23">
        <v>28.35</v>
      </c>
      <c r="K438" s="23">
        <v>485.42</v>
      </c>
    </row>
    <row r="439">
      <c r="A439" s="9"/>
      <c r="B439" s="9"/>
      <c r="E439" s="25"/>
      <c r="G439" s="21">
        <v>45451.0</v>
      </c>
      <c r="H439" s="22">
        <v>0.4166666666666667</v>
      </c>
      <c r="I439" s="23">
        <v>61.53</v>
      </c>
      <c r="J439" s="23">
        <v>28.84</v>
      </c>
      <c r="K439" s="23">
        <v>461.1</v>
      </c>
    </row>
    <row r="440">
      <c r="A440" s="9"/>
      <c r="B440" s="9"/>
      <c r="E440" s="25"/>
      <c r="G440" s="21">
        <v>45451.0</v>
      </c>
      <c r="H440" s="22">
        <v>0.5833333333333334</v>
      </c>
      <c r="I440" s="23">
        <v>57.39</v>
      </c>
      <c r="J440" s="23">
        <v>30.61</v>
      </c>
      <c r="K440" s="23">
        <v>437.68</v>
      </c>
    </row>
    <row r="441">
      <c r="A441" s="9"/>
      <c r="B441" s="9"/>
      <c r="E441" s="25"/>
      <c r="G441" s="21">
        <v>45451.0</v>
      </c>
      <c r="H441" s="22">
        <v>0.6666666666666666</v>
      </c>
      <c r="I441" s="23">
        <v>58.86</v>
      </c>
      <c r="J441" s="23">
        <v>28.65</v>
      </c>
      <c r="K441" s="23">
        <v>424.66</v>
      </c>
    </row>
    <row r="442">
      <c r="A442" s="9"/>
      <c r="B442" s="9"/>
      <c r="G442" s="21">
        <v>45451.0</v>
      </c>
      <c r="H442" s="22">
        <v>0.625</v>
      </c>
      <c r="I442" s="23">
        <v>58.05</v>
      </c>
      <c r="J442" s="23">
        <v>29.91</v>
      </c>
      <c r="K442" s="23">
        <v>429.11</v>
      </c>
    </row>
    <row r="443">
      <c r="A443" s="9"/>
      <c r="B443" s="9"/>
      <c r="G443" s="21">
        <v>45451.0</v>
      </c>
      <c r="H443" s="22">
        <v>0.4583333333333333</v>
      </c>
      <c r="I443" s="23">
        <v>59.54</v>
      </c>
      <c r="J443" s="23">
        <v>29.92</v>
      </c>
      <c r="K443" s="23">
        <v>455.06</v>
      </c>
    </row>
    <row r="444">
      <c r="A444" s="9"/>
      <c r="B444" s="9"/>
      <c r="G444" s="21">
        <v>45451.0</v>
      </c>
      <c r="H444" s="22">
        <v>0.5416666666666666</v>
      </c>
      <c r="I444" s="23">
        <v>57.54</v>
      </c>
      <c r="J444" s="23">
        <v>31.0</v>
      </c>
      <c r="K444" s="23">
        <v>445.09</v>
      </c>
    </row>
    <row r="445">
      <c r="A445" s="9"/>
      <c r="B445" s="9"/>
      <c r="G445" s="21">
        <v>45451.0</v>
      </c>
      <c r="H445" s="22">
        <v>0.5</v>
      </c>
      <c r="I445" s="23">
        <v>58.11</v>
      </c>
      <c r="J445" s="23">
        <v>30.61</v>
      </c>
      <c r="K445" s="23">
        <v>448.84</v>
      </c>
    </row>
    <row r="446">
      <c r="A446" s="9"/>
      <c r="B446" s="9"/>
      <c r="G446" s="21">
        <v>45451.0</v>
      </c>
      <c r="H446" s="22">
        <v>0.375</v>
      </c>
      <c r="I446" s="23">
        <v>63.48</v>
      </c>
      <c r="J446" s="23">
        <v>27.72</v>
      </c>
      <c r="K446" s="23">
        <v>468.92</v>
      </c>
    </row>
    <row r="447">
      <c r="A447" s="9"/>
      <c r="B447" s="9"/>
      <c r="G447" s="21">
        <v>45451.0</v>
      </c>
      <c r="H447" s="22">
        <v>0.25</v>
      </c>
      <c r="I447" s="23">
        <v>68.29</v>
      </c>
      <c r="J447" s="23">
        <v>25.09</v>
      </c>
      <c r="K447" s="23">
        <v>520.45</v>
      </c>
    </row>
    <row r="448">
      <c r="A448" s="9"/>
      <c r="B448" s="9"/>
      <c r="G448" s="21">
        <v>45451.0</v>
      </c>
      <c r="H448" s="22">
        <v>0.2916666666666667</v>
      </c>
      <c r="I448" s="23">
        <v>67.51</v>
      </c>
      <c r="J448" s="23">
        <v>25.45</v>
      </c>
      <c r="K448" s="23">
        <v>505.9</v>
      </c>
    </row>
    <row r="449">
      <c r="A449" s="9"/>
      <c r="B449" s="9"/>
      <c r="G449" s="21">
        <v>45451.0</v>
      </c>
      <c r="H449" s="22">
        <v>0.20833333333333334</v>
      </c>
      <c r="I449" s="23">
        <v>68.24</v>
      </c>
      <c r="J449" s="23">
        <v>23.97</v>
      </c>
      <c r="K449" s="23">
        <v>512.98</v>
      </c>
    </row>
    <row r="450">
      <c r="A450" s="9"/>
      <c r="B450" s="9"/>
      <c r="G450" s="21">
        <v>45451.0</v>
      </c>
      <c r="H450" s="22">
        <v>0.041666666666666664</v>
      </c>
      <c r="I450" s="23">
        <v>65.08</v>
      </c>
      <c r="J450" s="23">
        <v>25.4</v>
      </c>
      <c r="K450" s="23">
        <v>476.4</v>
      </c>
    </row>
    <row r="451">
      <c r="A451" s="9"/>
      <c r="B451" s="9"/>
      <c r="G451" s="21">
        <v>45451.0</v>
      </c>
      <c r="H451" s="22">
        <v>0.7083333333333334</v>
      </c>
      <c r="I451" s="23">
        <v>60.47</v>
      </c>
      <c r="J451" s="23">
        <v>27.48</v>
      </c>
      <c r="K451" s="23">
        <v>424.75</v>
      </c>
    </row>
    <row r="452">
      <c r="A452" s="9"/>
      <c r="B452" s="9"/>
      <c r="G452" s="21">
        <v>45451.0</v>
      </c>
      <c r="H452" s="22">
        <v>0.75</v>
      </c>
      <c r="I452" s="23">
        <v>62.29</v>
      </c>
      <c r="J452" s="23">
        <v>26.09</v>
      </c>
      <c r="K452" s="23">
        <v>423.72</v>
      </c>
    </row>
    <row r="453">
      <c r="A453" s="9"/>
      <c r="B453" s="9"/>
      <c r="G453" s="21">
        <v>45451.0</v>
      </c>
      <c r="H453" s="22">
        <v>0.7916666666666666</v>
      </c>
      <c r="I453" s="23">
        <v>64.38</v>
      </c>
      <c r="J453" s="23">
        <v>24.64</v>
      </c>
      <c r="K453" s="23">
        <v>421.73</v>
      </c>
    </row>
    <row r="454">
      <c r="A454" s="9"/>
      <c r="B454" s="9"/>
      <c r="G454" s="21">
        <v>45451.0</v>
      </c>
      <c r="H454" s="22">
        <v>0.8333333333333334</v>
      </c>
      <c r="I454" s="23">
        <v>65.48</v>
      </c>
      <c r="J454" s="23">
        <v>23.75</v>
      </c>
      <c r="K454" s="23">
        <v>427.59</v>
      </c>
    </row>
    <row r="455">
      <c r="A455" s="9"/>
      <c r="B455" s="9"/>
      <c r="G455" s="21">
        <v>45451.0</v>
      </c>
      <c r="H455" s="22">
        <v>0.875</v>
      </c>
      <c r="I455" s="23">
        <v>66.06</v>
      </c>
      <c r="J455" s="23">
        <v>23.92</v>
      </c>
      <c r="K455" s="23">
        <v>432.57</v>
      </c>
    </row>
    <row r="456">
      <c r="A456" s="9"/>
      <c r="B456" s="9"/>
      <c r="G456" s="21">
        <v>45451.0</v>
      </c>
      <c r="H456" s="22">
        <v>0.9166666666666666</v>
      </c>
      <c r="I456" s="23">
        <v>65.12</v>
      </c>
      <c r="J456" s="23">
        <v>26.64</v>
      </c>
      <c r="K456" s="23">
        <v>442.0</v>
      </c>
    </row>
    <row r="457">
      <c r="A457" s="9"/>
      <c r="B457" s="9"/>
      <c r="G457" s="21">
        <v>45451.0</v>
      </c>
      <c r="H457" s="22">
        <v>0.9583333333333334</v>
      </c>
      <c r="I457" s="23">
        <v>66.11</v>
      </c>
      <c r="J457" s="23">
        <v>26.16</v>
      </c>
      <c r="K457" s="23">
        <v>446.55</v>
      </c>
    </row>
    <row r="458">
      <c r="A458" s="9"/>
      <c r="B458" s="9"/>
      <c r="G458" s="21">
        <v>45452.0</v>
      </c>
      <c r="H458" s="22">
        <v>0.0</v>
      </c>
      <c r="I458" s="23">
        <v>67.26</v>
      </c>
      <c r="J458" s="23">
        <v>25.52</v>
      </c>
      <c r="K458" s="23">
        <v>451.03</v>
      </c>
    </row>
    <row r="459">
      <c r="A459" s="9"/>
      <c r="B459" s="9"/>
      <c r="G459" s="21">
        <v>45452.0</v>
      </c>
      <c r="H459" s="22">
        <v>0.041666666666666664</v>
      </c>
      <c r="I459" s="23">
        <v>68.38</v>
      </c>
      <c r="J459" s="23">
        <v>24.83</v>
      </c>
      <c r="K459" s="23">
        <v>454.68</v>
      </c>
    </row>
    <row r="460">
      <c r="A460" s="9"/>
      <c r="B460" s="9"/>
      <c r="G460" s="21">
        <v>45452.0</v>
      </c>
      <c r="H460" s="22">
        <v>0.08333333333333333</v>
      </c>
      <c r="I460" s="23">
        <v>69.84</v>
      </c>
      <c r="J460" s="23">
        <v>24.28</v>
      </c>
      <c r="K460" s="23">
        <v>456.5</v>
      </c>
    </row>
    <row r="461">
      <c r="A461" s="9"/>
      <c r="B461" s="9"/>
      <c r="G461" s="21">
        <v>45452.0</v>
      </c>
      <c r="H461" s="22">
        <v>0.125</v>
      </c>
      <c r="I461" s="23">
        <v>69.91</v>
      </c>
      <c r="J461" s="23">
        <v>23.97</v>
      </c>
      <c r="K461" s="23">
        <v>462.85</v>
      </c>
    </row>
    <row r="462">
      <c r="A462" s="9"/>
      <c r="B462" s="9"/>
      <c r="G462" s="21">
        <v>45452.0</v>
      </c>
      <c r="H462" s="22">
        <v>0.16666666666666666</v>
      </c>
      <c r="I462" s="23">
        <v>70.28</v>
      </c>
      <c r="J462" s="23">
        <v>23.65</v>
      </c>
      <c r="K462" s="23">
        <v>468.43</v>
      </c>
    </row>
    <row r="463">
      <c r="A463" s="9"/>
      <c r="B463" s="9"/>
      <c r="G463" s="21">
        <v>45452.0</v>
      </c>
      <c r="H463" s="22">
        <v>0.20833333333333334</v>
      </c>
      <c r="I463" s="23">
        <v>70.65</v>
      </c>
      <c r="J463" s="23">
        <v>23.42</v>
      </c>
      <c r="K463" s="23">
        <v>469.92</v>
      </c>
    </row>
    <row r="464">
      <c r="A464" s="9"/>
      <c r="B464" s="9"/>
      <c r="G464" s="21">
        <v>45452.0</v>
      </c>
      <c r="H464" s="22">
        <v>0.25</v>
      </c>
      <c r="I464" s="23">
        <v>70.7</v>
      </c>
      <c r="J464" s="23">
        <v>24.31</v>
      </c>
      <c r="K464" s="23">
        <v>468.79</v>
      </c>
    </row>
    <row r="465">
      <c r="A465" s="9"/>
      <c r="B465" s="9"/>
      <c r="G465" s="21">
        <v>45452.0</v>
      </c>
      <c r="H465" s="22">
        <v>0.2916666666666667</v>
      </c>
      <c r="I465" s="23">
        <v>69.56</v>
      </c>
      <c r="J465" s="23">
        <v>25.17</v>
      </c>
      <c r="K465" s="23">
        <v>466.31</v>
      </c>
    </row>
    <row r="466">
      <c r="A466" s="9"/>
      <c r="B466" s="9"/>
      <c r="G466" s="21">
        <v>45452.0</v>
      </c>
      <c r="H466" s="22">
        <v>0.3333333333333333</v>
      </c>
      <c r="I466" s="23">
        <v>68.7</v>
      </c>
      <c r="J466" s="23">
        <v>24.38</v>
      </c>
      <c r="K466" s="23">
        <v>451.44</v>
      </c>
    </row>
    <row r="467">
      <c r="A467" s="9"/>
      <c r="B467" s="9"/>
      <c r="G467" s="21">
        <v>45452.0</v>
      </c>
      <c r="H467" s="22">
        <v>0.375</v>
      </c>
      <c r="I467" s="23">
        <v>66.92</v>
      </c>
      <c r="J467" s="23">
        <v>26.09</v>
      </c>
      <c r="K467" s="23">
        <v>445.83</v>
      </c>
    </row>
    <row r="468">
      <c r="A468" s="9"/>
      <c r="B468" s="9"/>
      <c r="G468" s="21">
        <v>45452.0</v>
      </c>
      <c r="H468" s="22">
        <v>0.4166666666666667</v>
      </c>
      <c r="I468" s="23">
        <v>63.88</v>
      </c>
      <c r="J468" s="23">
        <v>27.41</v>
      </c>
      <c r="K468" s="23">
        <v>442.02</v>
      </c>
    </row>
    <row r="469">
      <c r="A469" s="9"/>
      <c r="B469" s="9"/>
      <c r="G469" s="21">
        <v>45452.0</v>
      </c>
      <c r="H469" s="22">
        <v>0.4583333333333333</v>
      </c>
      <c r="I469" s="23">
        <v>61.83</v>
      </c>
      <c r="J469" s="23">
        <v>27.9</v>
      </c>
      <c r="K469" s="23">
        <v>434.63</v>
      </c>
    </row>
    <row r="470">
      <c r="A470" s="9"/>
      <c r="B470" s="9"/>
      <c r="G470" s="21">
        <v>45452.0</v>
      </c>
      <c r="H470" s="22">
        <v>0.5</v>
      </c>
      <c r="I470" s="23">
        <v>60.03</v>
      </c>
      <c r="J470" s="23">
        <v>28.33</v>
      </c>
      <c r="K470" s="23">
        <v>432.87</v>
      </c>
    </row>
    <row r="471">
      <c r="A471" s="9"/>
      <c r="B471" s="9"/>
      <c r="G471" s="21">
        <v>45452.0</v>
      </c>
      <c r="H471" s="22">
        <v>0.5416666666666666</v>
      </c>
      <c r="I471" s="23">
        <v>58.97</v>
      </c>
      <c r="J471" s="23">
        <v>28.86</v>
      </c>
      <c r="K471" s="23">
        <v>427.67</v>
      </c>
    </row>
    <row r="472">
      <c r="A472" s="9"/>
      <c r="B472" s="9"/>
      <c r="G472" s="21">
        <v>45452.0</v>
      </c>
      <c r="H472" s="22">
        <v>0.5833333333333334</v>
      </c>
      <c r="I472" s="23">
        <v>58.81</v>
      </c>
      <c r="J472" s="23">
        <v>27.94</v>
      </c>
      <c r="K472" s="23">
        <v>420.01</v>
      </c>
    </row>
    <row r="473">
      <c r="A473" s="9"/>
      <c r="B473" s="9"/>
      <c r="G473" s="21">
        <v>45452.0</v>
      </c>
      <c r="H473" s="22">
        <v>0.625</v>
      </c>
      <c r="I473" s="23">
        <v>59.09</v>
      </c>
      <c r="J473" s="23">
        <v>27.09</v>
      </c>
      <c r="K473" s="23">
        <v>416.16</v>
      </c>
    </row>
    <row r="474">
      <c r="A474" s="9"/>
      <c r="B474" s="9"/>
      <c r="G474" s="21">
        <v>45452.0</v>
      </c>
      <c r="H474" s="22">
        <v>0.6666666666666666</v>
      </c>
      <c r="I474" s="23">
        <v>59.79</v>
      </c>
      <c r="J474" s="23">
        <v>26.47</v>
      </c>
      <c r="K474" s="23">
        <v>415.41</v>
      </c>
    </row>
    <row r="475">
      <c r="A475" s="9"/>
      <c r="B475" s="9"/>
      <c r="G475" s="21">
        <v>45452.0</v>
      </c>
      <c r="H475" s="22">
        <v>0.7083333333333334</v>
      </c>
      <c r="I475" s="23">
        <v>61.52</v>
      </c>
      <c r="J475" s="23">
        <v>25.27</v>
      </c>
      <c r="K475" s="23">
        <v>412.97</v>
      </c>
    </row>
    <row r="476">
      <c r="A476" s="9"/>
      <c r="B476" s="9"/>
      <c r="G476" s="21">
        <v>45452.0</v>
      </c>
      <c r="H476" s="22">
        <v>0.75</v>
      </c>
      <c r="I476" s="23">
        <v>62.73</v>
      </c>
      <c r="J476" s="23">
        <v>23.87</v>
      </c>
      <c r="K476" s="23">
        <v>416.72</v>
      </c>
    </row>
    <row r="477">
      <c r="A477" s="9"/>
      <c r="B477" s="9"/>
      <c r="G477" s="21">
        <v>45452.0</v>
      </c>
      <c r="H477" s="22">
        <v>0.7916666666666666</v>
      </c>
      <c r="I477" s="23">
        <v>63.25</v>
      </c>
      <c r="J477" s="23">
        <v>26.18</v>
      </c>
      <c r="K477" s="23">
        <v>422.82</v>
      </c>
    </row>
    <row r="478">
      <c r="A478" s="9"/>
      <c r="B478" s="9"/>
      <c r="G478" s="21">
        <v>45452.0</v>
      </c>
      <c r="H478" s="22">
        <v>0.8333333333333334</v>
      </c>
      <c r="I478" s="23">
        <v>62.81</v>
      </c>
      <c r="J478" s="23">
        <v>27.61</v>
      </c>
      <c r="K478" s="23">
        <v>432.81</v>
      </c>
    </row>
    <row r="479">
      <c r="A479" s="9"/>
      <c r="B479" s="9"/>
      <c r="G479" s="21">
        <v>45452.0</v>
      </c>
      <c r="H479" s="22">
        <v>0.875</v>
      </c>
      <c r="I479" s="23">
        <v>63.88</v>
      </c>
      <c r="J479" s="23">
        <v>26.8</v>
      </c>
      <c r="K479" s="23">
        <v>435.46</v>
      </c>
    </row>
    <row r="480">
      <c r="A480" s="9"/>
      <c r="B480" s="9"/>
      <c r="G480" s="21">
        <v>45452.0</v>
      </c>
      <c r="H480" s="22">
        <v>0.9166666666666666</v>
      </c>
      <c r="I480" s="23">
        <v>65.27</v>
      </c>
      <c r="J480" s="23">
        <v>26.15</v>
      </c>
      <c r="K480" s="23">
        <v>438.31</v>
      </c>
    </row>
    <row r="481">
      <c r="A481" s="9"/>
      <c r="B481" s="9"/>
      <c r="G481" s="21">
        <v>45452.0</v>
      </c>
      <c r="H481" s="22">
        <v>0.9583333333333334</v>
      </c>
      <c r="I481" s="23">
        <v>66.46</v>
      </c>
      <c r="J481" s="23">
        <v>25.61</v>
      </c>
      <c r="K481" s="23">
        <v>443.28</v>
      </c>
    </row>
    <row r="482">
      <c r="A482" s="9"/>
      <c r="B482" s="9"/>
      <c r="G482" s="21">
        <v>45453.0</v>
      </c>
      <c r="H482" s="22">
        <v>0.0</v>
      </c>
      <c r="I482" s="23">
        <v>67.56</v>
      </c>
      <c r="J482" s="23">
        <v>25.06</v>
      </c>
      <c r="K482" s="23">
        <v>449.02</v>
      </c>
    </row>
    <row r="483">
      <c r="A483" s="9"/>
      <c r="B483" s="9"/>
      <c r="G483" s="21">
        <v>45453.0</v>
      </c>
      <c r="H483" s="22">
        <v>0.041666666666666664</v>
      </c>
      <c r="I483" s="23">
        <v>68.44</v>
      </c>
      <c r="J483" s="23">
        <v>24.55</v>
      </c>
      <c r="K483" s="23">
        <v>454.8</v>
      </c>
    </row>
    <row r="484">
      <c r="A484" s="9"/>
      <c r="B484" s="9"/>
      <c r="G484" s="21">
        <v>45453.0</v>
      </c>
      <c r="H484" s="22">
        <v>0.08333333333333333</v>
      </c>
      <c r="I484" s="23">
        <v>69.37</v>
      </c>
      <c r="J484" s="23">
        <v>24.04</v>
      </c>
      <c r="K484" s="23">
        <v>460.52</v>
      </c>
    </row>
    <row r="485">
      <c r="A485" s="9"/>
      <c r="B485" s="9"/>
      <c r="G485" s="21">
        <v>45453.0</v>
      </c>
      <c r="H485" s="22">
        <v>0.125</v>
      </c>
      <c r="I485" s="23">
        <v>69.93</v>
      </c>
      <c r="J485" s="23">
        <v>23.55</v>
      </c>
      <c r="K485" s="23">
        <v>468.15</v>
      </c>
    </row>
    <row r="486">
      <c r="A486" s="9"/>
      <c r="B486" s="9"/>
      <c r="G486" s="21">
        <v>45453.0</v>
      </c>
      <c r="H486" s="22">
        <v>0.16666666666666666</v>
      </c>
      <c r="I486" s="23">
        <v>70.46</v>
      </c>
      <c r="J486" s="23">
        <v>23.31</v>
      </c>
      <c r="K486" s="23">
        <v>475.97</v>
      </c>
    </row>
    <row r="487">
      <c r="A487" s="9"/>
      <c r="B487" s="9"/>
      <c r="G487" s="21">
        <v>45453.0</v>
      </c>
      <c r="H487" s="22">
        <v>0.20833333333333334</v>
      </c>
      <c r="I487" s="23">
        <v>71.01</v>
      </c>
      <c r="J487" s="23">
        <v>23.01</v>
      </c>
      <c r="K487" s="23">
        <v>477.94</v>
      </c>
    </row>
    <row r="488">
      <c r="A488" s="9"/>
      <c r="B488" s="9"/>
      <c r="G488" s="21">
        <v>45453.0</v>
      </c>
      <c r="H488" s="22">
        <v>0.25</v>
      </c>
      <c r="I488" s="23">
        <v>71.16</v>
      </c>
      <c r="J488" s="23">
        <v>23.76</v>
      </c>
      <c r="K488" s="23">
        <v>486.29</v>
      </c>
    </row>
    <row r="489">
      <c r="A489" s="9"/>
      <c r="B489" s="9"/>
      <c r="G489" s="21">
        <v>45453.0</v>
      </c>
      <c r="H489" s="22">
        <v>0.2916666666666667</v>
      </c>
      <c r="I489" s="23">
        <v>70.75</v>
      </c>
      <c r="J489" s="23">
        <v>25.78</v>
      </c>
      <c r="K489" s="23">
        <v>483.67</v>
      </c>
    </row>
    <row r="490">
      <c r="A490" s="9"/>
      <c r="B490" s="9"/>
      <c r="G490" s="21">
        <v>45453.0</v>
      </c>
      <c r="H490" s="22">
        <v>0.3333333333333333</v>
      </c>
      <c r="I490" s="23">
        <v>69.13</v>
      </c>
      <c r="J490" s="23">
        <v>25.1</v>
      </c>
      <c r="K490" s="23">
        <v>465.62</v>
      </c>
    </row>
    <row r="491">
      <c r="A491" s="9"/>
      <c r="B491" s="9"/>
      <c r="G491" s="21">
        <v>45453.0</v>
      </c>
      <c r="H491" s="22">
        <v>0.375</v>
      </c>
      <c r="I491" s="23">
        <v>67.96</v>
      </c>
      <c r="J491" s="23">
        <v>25.49</v>
      </c>
      <c r="K491" s="23">
        <v>458.86</v>
      </c>
    </row>
    <row r="492">
      <c r="A492" s="9"/>
      <c r="B492" s="9"/>
      <c r="G492" s="21">
        <v>45453.0</v>
      </c>
      <c r="H492" s="22">
        <v>0.4166666666666667</v>
      </c>
      <c r="I492" s="23">
        <v>66.53</v>
      </c>
      <c r="J492" s="23">
        <v>27.37</v>
      </c>
      <c r="K492" s="23">
        <v>481.77</v>
      </c>
    </row>
    <row r="493">
      <c r="A493" s="9"/>
      <c r="B493" s="9"/>
      <c r="G493" s="21">
        <v>45453.0</v>
      </c>
      <c r="H493" s="22">
        <v>0.4583333333333333</v>
      </c>
      <c r="I493" s="23">
        <v>63.56</v>
      </c>
      <c r="J493" s="23">
        <v>28.37</v>
      </c>
      <c r="K493" s="23">
        <v>454.35</v>
      </c>
    </row>
    <row r="494">
      <c r="A494" s="9"/>
      <c r="B494" s="9"/>
      <c r="G494" s="21">
        <v>45453.0</v>
      </c>
      <c r="H494" s="22">
        <v>0.5</v>
      </c>
      <c r="I494" s="23">
        <v>61.51</v>
      </c>
      <c r="J494" s="23">
        <v>29.26</v>
      </c>
      <c r="K494" s="23">
        <v>446.63</v>
      </c>
    </row>
    <row r="495">
      <c r="A495" s="9"/>
      <c r="B495" s="9"/>
      <c r="G495" s="21">
        <v>45453.0</v>
      </c>
      <c r="H495" s="22">
        <v>0.5416666666666666</v>
      </c>
      <c r="I495" s="23">
        <v>60.42</v>
      </c>
      <c r="J495" s="23">
        <v>29.41</v>
      </c>
      <c r="K495" s="23">
        <v>442.22</v>
      </c>
    </row>
    <row r="496">
      <c r="A496" s="9"/>
      <c r="B496" s="9"/>
      <c r="G496" s="21">
        <v>45453.0</v>
      </c>
      <c r="H496" s="22">
        <v>0.5833333333333334</v>
      </c>
      <c r="I496" s="23">
        <v>60.1</v>
      </c>
      <c r="J496" s="23">
        <v>28.96</v>
      </c>
      <c r="K496" s="23">
        <v>436.92</v>
      </c>
    </row>
    <row r="497">
      <c r="A497" s="9"/>
      <c r="B497" s="9"/>
      <c r="G497" s="21">
        <v>45453.0</v>
      </c>
      <c r="H497" s="22">
        <v>0.625</v>
      </c>
      <c r="I497" s="23">
        <v>60.42</v>
      </c>
      <c r="J497" s="23">
        <v>28.44</v>
      </c>
      <c r="K497" s="23">
        <v>431.78</v>
      </c>
    </row>
    <row r="498">
      <c r="A498" s="9"/>
      <c r="B498" s="9"/>
      <c r="G498" s="21">
        <v>45453.0</v>
      </c>
      <c r="H498" s="22">
        <v>0.6666666666666666</v>
      </c>
      <c r="I498" s="23">
        <v>61.58</v>
      </c>
      <c r="J498" s="23">
        <v>27.43</v>
      </c>
      <c r="K498" s="23">
        <v>430.76</v>
      </c>
    </row>
    <row r="499">
      <c r="A499" s="9"/>
      <c r="B499" s="9"/>
      <c r="G499" s="21">
        <v>45453.0</v>
      </c>
      <c r="H499" s="22">
        <v>0.7083333333333334</v>
      </c>
      <c r="I499" s="23">
        <v>62.76</v>
      </c>
      <c r="J499" s="23">
        <v>25.8</v>
      </c>
      <c r="K499" s="23">
        <v>432.98</v>
      </c>
    </row>
    <row r="500">
      <c r="A500" s="9"/>
      <c r="B500" s="9"/>
      <c r="G500" s="21">
        <v>45453.0</v>
      </c>
      <c r="H500" s="22">
        <v>0.75</v>
      </c>
      <c r="I500" s="23">
        <v>64.39</v>
      </c>
      <c r="J500" s="23">
        <v>25.02</v>
      </c>
      <c r="K500" s="23">
        <v>430.95</v>
      </c>
    </row>
    <row r="501">
      <c r="A501" s="9"/>
      <c r="B501" s="9"/>
      <c r="G501" s="21">
        <v>45453.0</v>
      </c>
      <c r="H501" s="22">
        <v>0.7916666666666666</v>
      </c>
      <c r="I501" s="23">
        <v>66.2</v>
      </c>
      <c r="J501" s="23">
        <v>24.76</v>
      </c>
      <c r="K501" s="23">
        <v>434.6</v>
      </c>
    </row>
    <row r="502">
      <c r="A502" s="9"/>
      <c r="B502" s="9"/>
      <c r="G502" s="21">
        <v>45453.0</v>
      </c>
      <c r="H502" s="22">
        <v>0.8333333333333334</v>
      </c>
      <c r="I502" s="23">
        <v>67.65</v>
      </c>
      <c r="J502" s="23">
        <v>24.13</v>
      </c>
      <c r="K502" s="23">
        <v>438.27</v>
      </c>
    </row>
    <row r="503">
      <c r="A503" s="9"/>
      <c r="B503" s="9"/>
      <c r="G503" s="21">
        <v>45453.0</v>
      </c>
      <c r="H503" s="22">
        <v>0.875</v>
      </c>
      <c r="I503" s="23">
        <v>68.85</v>
      </c>
      <c r="J503" s="23">
        <v>23.85</v>
      </c>
      <c r="K503" s="23">
        <v>445.38</v>
      </c>
    </row>
    <row r="504">
      <c r="A504" s="9"/>
      <c r="B504" s="9"/>
      <c r="G504" s="21">
        <v>45453.0</v>
      </c>
      <c r="H504" s="22">
        <v>0.9166666666666666</v>
      </c>
      <c r="I504" s="23">
        <v>69.9</v>
      </c>
      <c r="J504" s="23">
        <v>23.5</v>
      </c>
      <c r="K504" s="23">
        <v>449.36</v>
      </c>
    </row>
    <row r="505">
      <c r="A505" s="9"/>
      <c r="B505" s="9"/>
      <c r="G505" s="21">
        <v>45453.0</v>
      </c>
      <c r="H505" s="22">
        <v>0.9583333333333334</v>
      </c>
      <c r="I505" s="23">
        <v>70.36</v>
      </c>
      <c r="J505" s="23">
        <v>23.59</v>
      </c>
      <c r="K505" s="23">
        <v>450.69</v>
      </c>
    </row>
    <row r="506">
      <c r="A506" s="9"/>
      <c r="B506" s="9"/>
      <c r="G506" s="21">
        <v>45454.0</v>
      </c>
      <c r="H506" s="22">
        <v>0.0</v>
      </c>
      <c r="I506" s="23">
        <v>70.14</v>
      </c>
      <c r="J506" s="23">
        <v>25.1</v>
      </c>
      <c r="K506" s="23">
        <v>458.21</v>
      </c>
    </row>
    <row r="507">
      <c r="A507" s="9"/>
      <c r="B507" s="9"/>
      <c r="G507" s="21">
        <v>45454.0</v>
      </c>
      <c r="H507" s="22">
        <v>0.041666666666666664</v>
      </c>
      <c r="I507" s="23">
        <v>70.75</v>
      </c>
      <c r="J507" s="23">
        <v>24.89</v>
      </c>
      <c r="K507" s="23">
        <v>465.76</v>
      </c>
    </row>
    <row r="508">
      <c r="A508" s="9"/>
      <c r="B508" s="9"/>
      <c r="G508" s="21">
        <v>45454.0</v>
      </c>
      <c r="H508" s="22">
        <v>0.08333333333333333</v>
      </c>
      <c r="I508" s="23">
        <v>71.21</v>
      </c>
      <c r="J508" s="23">
        <v>24.25</v>
      </c>
      <c r="K508" s="23">
        <v>472.37</v>
      </c>
    </row>
    <row r="509">
      <c r="A509" s="9"/>
      <c r="B509" s="9"/>
      <c r="G509" s="21">
        <v>45454.0</v>
      </c>
      <c r="H509" s="22">
        <v>0.125</v>
      </c>
      <c r="I509" s="23">
        <v>71.54</v>
      </c>
      <c r="J509" s="23">
        <v>23.61</v>
      </c>
      <c r="K509" s="23">
        <v>483.81</v>
      </c>
    </row>
    <row r="510">
      <c r="A510" s="9"/>
      <c r="B510" s="9"/>
      <c r="G510" s="21">
        <v>45454.0</v>
      </c>
      <c r="H510" s="22">
        <v>0.16666666666666666</v>
      </c>
      <c r="I510" s="23">
        <v>71.82</v>
      </c>
      <c r="J510" s="23">
        <v>23.0</v>
      </c>
      <c r="K510" s="23">
        <v>494.2</v>
      </c>
    </row>
    <row r="511">
      <c r="A511" s="9"/>
      <c r="B511" s="9"/>
      <c r="G511" s="21">
        <v>45454.0</v>
      </c>
      <c r="H511" s="22">
        <v>0.20833333333333334</v>
      </c>
      <c r="I511" s="23">
        <v>72.06</v>
      </c>
      <c r="J511" s="23">
        <v>22.87</v>
      </c>
      <c r="K511" s="23">
        <v>502.03</v>
      </c>
    </row>
    <row r="512">
      <c r="A512" s="9"/>
      <c r="B512" s="9"/>
      <c r="G512" s="21">
        <v>45454.0</v>
      </c>
      <c r="H512" s="22">
        <v>0.25</v>
      </c>
      <c r="I512" s="23">
        <v>72.14</v>
      </c>
      <c r="J512" s="23">
        <v>23.74</v>
      </c>
      <c r="K512" s="23">
        <v>504.37</v>
      </c>
    </row>
    <row r="513">
      <c r="A513" s="9"/>
      <c r="B513" s="9"/>
      <c r="G513" s="21">
        <v>45454.0</v>
      </c>
      <c r="H513" s="22">
        <v>0.2916666666666667</v>
      </c>
      <c r="I513" s="23">
        <v>71.04</v>
      </c>
      <c r="J513" s="23">
        <v>25.05</v>
      </c>
      <c r="K513" s="23">
        <v>495.87</v>
      </c>
    </row>
    <row r="514">
      <c r="A514" s="9"/>
      <c r="B514" s="9"/>
      <c r="G514" s="21">
        <v>45454.0</v>
      </c>
      <c r="H514" s="22">
        <v>0.3333333333333333</v>
      </c>
      <c r="I514" s="23">
        <v>70.0</v>
      </c>
      <c r="J514" s="23">
        <v>24.75</v>
      </c>
      <c r="K514" s="23">
        <v>476.4</v>
      </c>
    </row>
    <row r="515">
      <c r="A515" s="9"/>
      <c r="B515" s="9"/>
      <c r="G515" s="21">
        <v>45454.0</v>
      </c>
      <c r="H515" s="22">
        <v>0.375</v>
      </c>
      <c r="I515" s="23">
        <v>68.06</v>
      </c>
      <c r="J515" s="23">
        <v>26.0</v>
      </c>
      <c r="K515" s="23">
        <v>465.86</v>
      </c>
    </row>
    <row r="516">
      <c r="A516" s="9"/>
      <c r="B516" s="9"/>
      <c r="G516" s="21">
        <v>45454.0</v>
      </c>
      <c r="H516" s="22">
        <v>0.4166666666666667</v>
      </c>
      <c r="I516" s="23">
        <v>65.37</v>
      </c>
      <c r="J516" s="23">
        <v>26.88</v>
      </c>
      <c r="K516" s="23">
        <v>458.04</v>
      </c>
    </row>
    <row r="517">
      <c r="A517" s="9"/>
      <c r="B517" s="9"/>
      <c r="G517" s="21">
        <v>45454.0</v>
      </c>
      <c r="H517" s="22">
        <v>0.4583333333333333</v>
      </c>
      <c r="I517" s="23">
        <v>63.18</v>
      </c>
      <c r="J517" s="23">
        <v>27.9</v>
      </c>
      <c r="K517" s="23">
        <v>449.61</v>
      </c>
    </row>
    <row r="518">
      <c r="A518" s="9"/>
      <c r="B518" s="9"/>
      <c r="G518" s="21">
        <v>45454.0</v>
      </c>
      <c r="H518" s="22">
        <v>0.5</v>
      </c>
      <c r="I518" s="23">
        <v>61.21</v>
      </c>
      <c r="J518" s="23">
        <v>28.76</v>
      </c>
      <c r="K518" s="23">
        <v>446.54</v>
      </c>
    </row>
    <row r="519">
      <c r="A519" s="9"/>
      <c r="B519" s="9"/>
      <c r="G519" s="21">
        <v>45454.0</v>
      </c>
      <c r="H519" s="22">
        <v>0.5416666666666666</v>
      </c>
      <c r="I519" s="23">
        <v>60.1</v>
      </c>
      <c r="J519" s="23">
        <v>28.39</v>
      </c>
      <c r="K519" s="23">
        <v>439.16</v>
      </c>
    </row>
    <row r="520">
      <c r="A520" s="9"/>
      <c r="B520" s="9"/>
      <c r="G520" s="21">
        <v>45454.0</v>
      </c>
      <c r="H520" s="22">
        <v>0.5833333333333334</v>
      </c>
      <c r="I520" s="23">
        <v>59.55</v>
      </c>
      <c r="J520" s="23">
        <v>27.27</v>
      </c>
      <c r="K520" s="23">
        <v>430.09</v>
      </c>
    </row>
    <row r="521">
      <c r="A521" s="9"/>
      <c r="B521" s="9"/>
      <c r="G521" s="21">
        <v>45454.0</v>
      </c>
      <c r="H521" s="22">
        <v>0.625</v>
      </c>
      <c r="I521" s="23">
        <v>59.93</v>
      </c>
      <c r="J521" s="23">
        <v>26.77</v>
      </c>
      <c r="K521" s="23">
        <v>425.0</v>
      </c>
    </row>
    <row r="522">
      <c r="A522" s="9"/>
      <c r="B522" s="9"/>
      <c r="G522" s="21">
        <v>45454.0</v>
      </c>
      <c r="H522" s="22">
        <v>0.6666666666666666</v>
      </c>
      <c r="I522" s="23">
        <v>60.67</v>
      </c>
      <c r="J522" s="23">
        <v>25.46</v>
      </c>
      <c r="K522" s="23">
        <v>429.07</v>
      </c>
    </row>
    <row r="523">
      <c r="A523" s="9"/>
      <c r="B523" s="9"/>
      <c r="G523" s="21">
        <v>45454.0</v>
      </c>
      <c r="H523" s="22">
        <v>0.7083333333333334</v>
      </c>
      <c r="I523" s="23">
        <v>62.08</v>
      </c>
      <c r="J523" s="23">
        <v>24.9</v>
      </c>
      <c r="K523" s="23">
        <v>427.24</v>
      </c>
    </row>
    <row r="524">
      <c r="A524" s="9"/>
      <c r="B524" s="9"/>
      <c r="G524" s="21">
        <v>45454.0</v>
      </c>
      <c r="H524" s="22">
        <v>0.75</v>
      </c>
      <c r="I524" s="23">
        <v>63.72</v>
      </c>
      <c r="J524" s="23">
        <v>24.42</v>
      </c>
      <c r="K524" s="23">
        <v>427.38</v>
      </c>
    </row>
    <row r="525">
      <c r="A525" s="9"/>
      <c r="B525" s="9"/>
      <c r="G525" s="21">
        <v>45454.0</v>
      </c>
      <c r="H525" s="22">
        <v>0.7916666666666666</v>
      </c>
      <c r="I525" s="23">
        <v>65.47</v>
      </c>
      <c r="J525" s="23">
        <v>23.8</v>
      </c>
      <c r="K525" s="23">
        <v>432.46</v>
      </c>
    </row>
    <row r="526">
      <c r="A526" s="9"/>
      <c r="B526" s="9"/>
      <c r="G526" s="21">
        <v>45454.0</v>
      </c>
      <c r="H526" s="22">
        <v>0.8333333333333334</v>
      </c>
      <c r="I526" s="23">
        <v>65.99</v>
      </c>
      <c r="J526" s="23">
        <v>25.22</v>
      </c>
      <c r="K526" s="23">
        <v>439.27</v>
      </c>
    </row>
    <row r="527">
      <c r="A527" s="9"/>
      <c r="B527" s="9"/>
      <c r="G527" s="21">
        <v>45454.0</v>
      </c>
      <c r="H527" s="22">
        <v>0.875</v>
      </c>
      <c r="I527" s="23">
        <v>65.72</v>
      </c>
      <c r="J527" s="23">
        <v>26.58</v>
      </c>
      <c r="K527" s="23">
        <v>444.65</v>
      </c>
    </row>
    <row r="528">
      <c r="A528" s="9"/>
      <c r="B528" s="9"/>
      <c r="G528" s="21">
        <v>45454.0</v>
      </c>
      <c r="H528" s="22">
        <v>0.9166666666666666</v>
      </c>
      <c r="I528" s="23">
        <v>66.5</v>
      </c>
      <c r="J528" s="23">
        <v>25.73</v>
      </c>
      <c r="K528" s="23">
        <v>447.39</v>
      </c>
    </row>
    <row r="529">
      <c r="A529" s="9"/>
      <c r="B529" s="9"/>
      <c r="G529" s="21">
        <v>45454.0</v>
      </c>
      <c r="H529" s="22">
        <v>0.9583333333333334</v>
      </c>
      <c r="I529" s="23">
        <v>67.29</v>
      </c>
      <c r="J529" s="23">
        <v>25.02</v>
      </c>
      <c r="K529" s="23">
        <v>446.86</v>
      </c>
    </row>
    <row r="530">
      <c r="A530" s="9"/>
      <c r="B530" s="9"/>
      <c r="G530" s="21">
        <v>45455.0</v>
      </c>
      <c r="H530" s="22">
        <v>0.0</v>
      </c>
      <c r="I530" s="23">
        <v>68.32</v>
      </c>
      <c r="J530" s="23">
        <v>24.66</v>
      </c>
      <c r="K530" s="23">
        <v>451.32</v>
      </c>
    </row>
    <row r="531">
      <c r="A531" s="9"/>
      <c r="B531" s="9"/>
      <c r="G531" s="21">
        <v>45455.0</v>
      </c>
      <c r="H531" s="22">
        <v>0.041666666666666664</v>
      </c>
      <c r="I531" s="23">
        <v>69.01</v>
      </c>
      <c r="J531" s="23">
        <v>23.8</v>
      </c>
      <c r="K531" s="23">
        <v>453.0</v>
      </c>
    </row>
    <row r="532">
      <c r="A532" s="9"/>
      <c r="B532" s="9"/>
      <c r="G532" s="21">
        <v>45455.0</v>
      </c>
      <c r="H532" s="22">
        <v>0.08333333333333333</v>
      </c>
      <c r="I532" s="23">
        <v>69.82</v>
      </c>
      <c r="J532" s="23">
        <v>22.86</v>
      </c>
      <c r="K532" s="23">
        <v>460.41</v>
      </c>
    </row>
    <row r="533">
      <c r="A533" s="9"/>
      <c r="B533" s="9"/>
      <c r="G533" s="21">
        <v>45455.0</v>
      </c>
      <c r="H533" s="22">
        <v>0.125</v>
      </c>
      <c r="I533" s="23">
        <v>70.24</v>
      </c>
      <c r="J533" s="23">
        <v>22.21</v>
      </c>
      <c r="K533" s="23">
        <v>478.84</v>
      </c>
    </row>
    <row r="534">
      <c r="A534" s="9"/>
      <c r="B534" s="9"/>
      <c r="G534" s="21">
        <v>45455.0</v>
      </c>
      <c r="H534" s="22">
        <v>0.16666666666666666</v>
      </c>
      <c r="I534" s="23">
        <v>70.23</v>
      </c>
      <c r="J534" s="23">
        <v>21.94</v>
      </c>
      <c r="K534" s="23">
        <v>494.32</v>
      </c>
    </row>
    <row r="535">
      <c r="A535" s="9"/>
      <c r="B535" s="9"/>
      <c r="G535" s="21">
        <v>45455.0</v>
      </c>
      <c r="H535" s="22">
        <v>0.20833333333333334</v>
      </c>
      <c r="I535" s="23">
        <v>70.77</v>
      </c>
      <c r="J535" s="23">
        <v>21.88</v>
      </c>
      <c r="K535" s="23">
        <v>496.97</v>
      </c>
    </row>
    <row r="536">
      <c r="A536" s="9"/>
      <c r="B536" s="9"/>
      <c r="G536" s="21">
        <v>45455.0</v>
      </c>
      <c r="H536" s="22">
        <v>0.25</v>
      </c>
      <c r="I536" s="23">
        <v>70.85</v>
      </c>
      <c r="J536" s="23">
        <v>22.86</v>
      </c>
      <c r="K536" s="23">
        <v>503.26</v>
      </c>
    </row>
    <row r="537">
      <c r="A537" s="9"/>
      <c r="B537" s="9"/>
      <c r="G537" s="21">
        <v>45455.0</v>
      </c>
      <c r="H537" s="22">
        <v>0.2916666666666667</v>
      </c>
      <c r="I537" s="23">
        <v>69.44</v>
      </c>
      <c r="J537" s="23">
        <v>25.27</v>
      </c>
      <c r="K537" s="23">
        <v>496.99</v>
      </c>
    </row>
    <row r="538">
      <c r="A538" s="9"/>
      <c r="B538" s="9"/>
      <c r="G538" s="21">
        <v>45455.0</v>
      </c>
      <c r="H538" s="22">
        <v>0.3333333333333333</v>
      </c>
      <c r="I538" s="23">
        <v>68.4</v>
      </c>
      <c r="J538" s="23">
        <v>24.26</v>
      </c>
      <c r="K538" s="23">
        <v>469.22</v>
      </c>
    </row>
    <row r="539">
      <c r="A539" s="9"/>
      <c r="B539" s="9"/>
      <c r="G539" s="21">
        <v>45455.0</v>
      </c>
      <c r="H539" s="22">
        <v>0.375</v>
      </c>
      <c r="I539" s="23">
        <v>66.7</v>
      </c>
      <c r="J539" s="23">
        <v>25.13</v>
      </c>
      <c r="K539" s="23">
        <v>456.11</v>
      </c>
    </row>
    <row r="540">
      <c r="A540" s="9"/>
      <c r="B540" s="9"/>
      <c r="G540" s="21">
        <v>45455.0</v>
      </c>
      <c r="H540" s="22">
        <v>0.4166666666666667</v>
      </c>
      <c r="I540" s="23">
        <v>63.9</v>
      </c>
      <c r="J540" s="23">
        <v>26.44</v>
      </c>
      <c r="K540" s="23">
        <v>450.86</v>
      </c>
    </row>
    <row r="541">
      <c r="A541" s="9"/>
      <c r="B541" s="9"/>
      <c r="G541" s="21">
        <v>45455.0</v>
      </c>
      <c r="H541" s="22">
        <v>0.4583333333333333</v>
      </c>
      <c r="I541" s="23">
        <v>61.84</v>
      </c>
      <c r="J541" s="23">
        <v>26.91</v>
      </c>
      <c r="K541" s="23">
        <v>442.68</v>
      </c>
    </row>
    <row r="542">
      <c r="A542" s="9"/>
      <c r="B542" s="9"/>
      <c r="G542" s="21">
        <v>45455.0</v>
      </c>
      <c r="H542" s="22">
        <v>0.5</v>
      </c>
      <c r="I542" s="23">
        <v>59.57</v>
      </c>
      <c r="J542" s="23">
        <v>27.93</v>
      </c>
      <c r="K542" s="23">
        <v>442.61</v>
      </c>
    </row>
    <row r="543">
      <c r="A543" s="9"/>
      <c r="B543" s="9"/>
      <c r="G543" s="21">
        <v>45455.0</v>
      </c>
      <c r="H543" s="22">
        <v>0.5416666666666666</v>
      </c>
      <c r="I543" s="23">
        <v>58.22</v>
      </c>
      <c r="J543" s="23">
        <v>28.31</v>
      </c>
      <c r="K543" s="23">
        <v>438.24</v>
      </c>
    </row>
    <row r="544">
      <c r="A544" s="9"/>
      <c r="B544" s="9"/>
      <c r="G544" s="21">
        <v>45455.0</v>
      </c>
      <c r="H544" s="22">
        <v>0.5833333333333334</v>
      </c>
      <c r="I544" s="23">
        <v>58.12</v>
      </c>
      <c r="J544" s="23">
        <v>28.01</v>
      </c>
      <c r="K544" s="23">
        <v>430.31</v>
      </c>
    </row>
    <row r="545">
      <c r="A545" s="9"/>
      <c r="B545" s="9"/>
      <c r="G545" s="21">
        <v>45455.0</v>
      </c>
      <c r="H545" s="22">
        <v>0.625</v>
      </c>
      <c r="I545" s="23">
        <v>58.49</v>
      </c>
      <c r="J545" s="23">
        <v>27.31</v>
      </c>
      <c r="K545" s="23">
        <v>426.88</v>
      </c>
    </row>
    <row r="546">
      <c r="A546" s="9"/>
      <c r="B546" s="9"/>
      <c r="G546" s="21">
        <v>45455.0</v>
      </c>
      <c r="H546" s="22">
        <v>0.6666666666666666</v>
      </c>
      <c r="I546" s="23">
        <v>59.82</v>
      </c>
      <c r="J546" s="23">
        <v>26.61</v>
      </c>
      <c r="K546" s="23">
        <v>421.54</v>
      </c>
    </row>
    <row r="547">
      <c r="A547" s="9"/>
      <c r="B547" s="9"/>
      <c r="G547" s="21">
        <v>45455.0</v>
      </c>
      <c r="H547" s="22">
        <v>0.7083333333333334</v>
      </c>
      <c r="I547" s="23">
        <v>61.16</v>
      </c>
      <c r="J547" s="23">
        <v>25.33</v>
      </c>
      <c r="K547" s="23">
        <v>419.55</v>
      </c>
    </row>
    <row r="548">
      <c r="A548" s="9"/>
      <c r="B548" s="9"/>
      <c r="G548" s="21">
        <v>45455.0</v>
      </c>
      <c r="H548" s="22">
        <v>0.75</v>
      </c>
      <c r="I548" s="23">
        <v>62.73</v>
      </c>
      <c r="J548" s="23">
        <v>24.36</v>
      </c>
      <c r="K548" s="23">
        <v>420.0</v>
      </c>
    </row>
    <row r="549">
      <c r="A549" s="9"/>
      <c r="B549" s="9"/>
      <c r="G549" s="21">
        <v>45455.0</v>
      </c>
      <c r="H549" s="22">
        <v>0.7916666666666666</v>
      </c>
      <c r="I549" s="23">
        <v>64.3</v>
      </c>
      <c r="J549" s="23">
        <v>24.67</v>
      </c>
      <c r="K549" s="23">
        <v>428.85</v>
      </c>
    </row>
    <row r="550">
      <c r="A550" s="9"/>
      <c r="B550" s="9"/>
      <c r="G550" s="21">
        <v>45455.0</v>
      </c>
      <c r="H550" s="22">
        <v>0.8333333333333334</v>
      </c>
      <c r="I550" s="23">
        <v>66.3</v>
      </c>
      <c r="J550" s="23">
        <v>24.95</v>
      </c>
      <c r="K550" s="23">
        <v>434.61</v>
      </c>
    </row>
    <row r="551">
      <c r="A551" s="9"/>
      <c r="B551" s="9"/>
      <c r="G551" s="21">
        <v>45455.0</v>
      </c>
      <c r="H551" s="22">
        <v>0.875</v>
      </c>
      <c r="I551" s="23">
        <v>67.64</v>
      </c>
      <c r="J551" s="23">
        <v>23.57</v>
      </c>
      <c r="K551" s="23">
        <v>434.26</v>
      </c>
    </row>
    <row r="552">
      <c r="A552" s="9"/>
      <c r="B552" s="9"/>
      <c r="G552" s="21">
        <v>45455.0</v>
      </c>
      <c r="H552" s="22">
        <v>0.9166666666666666</v>
      </c>
      <c r="I552" s="23">
        <v>68.2</v>
      </c>
      <c r="J552" s="23">
        <v>24.12</v>
      </c>
      <c r="K552" s="23">
        <v>438.91</v>
      </c>
    </row>
    <row r="553">
      <c r="A553" s="9"/>
      <c r="B553" s="9"/>
      <c r="G553" s="21">
        <v>45455.0</v>
      </c>
      <c r="H553" s="22">
        <v>0.9583333333333334</v>
      </c>
      <c r="I553" s="23">
        <v>67.95</v>
      </c>
      <c r="J553" s="23">
        <v>25.32</v>
      </c>
      <c r="K553" s="23">
        <v>445.22</v>
      </c>
    </row>
    <row r="554">
      <c r="A554" s="9"/>
      <c r="B554" s="9"/>
      <c r="G554" s="21">
        <v>45456.0</v>
      </c>
      <c r="H554" s="22">
        <v>0.0</v>
      </c>
      <c r="I554" s="23">
        <v>68.59</v>
      </c>
      <c r="J554" s="23">
        <v>24.61</v>
      </c>
      <c r="K554" s="23">
        <v>452.36</v>
      </c>
    </row>
    <row r="555">
      <c r="A555" s="9"/>
      <c r="B555" s="9"/>
      <c r="G555" s="21">
        <v>45456.0</v>
      </c>
      <c r="H555" s="22">
        <v>0.041666666666666664</v>
      </c>
      <c r="I555" s="23">
        <v>69.41</v>
      </c>
      <c r="J555" s="23">
        <v>24.31</v>
      </c>
      <c r="K555" s="23">
        <v>461.61</v>
      </c>
    </row>
    <row r="556">
      <c r="A556" s="9"/>
      <c r="B556" s="9"/>
      <c r="G556" s="21">
        <v>45456.0</v>
      </c>
      <c r="H556" s="22">
        <v>0.08333333333333333</v>
      </c>
      <c r="I556" s="23">
        <v>70.32</v>
      </c>
      <c r="J556" s="23">
        <v>23.94</v>
      </c>
      <c r="K556" s="23">
        <v>470.06</v>
      </c>
    </row>
    <row r="557">
      <c r="A557" s="9"/>
      <c r="B557" s="9"/>
      <c r="G557" s="21">
        <v>45456.0</v>
      </c>
      <c r="H557" s="22">
        <v>0.125</v>
      </c>
      <c r="I557" s="23">
        <v>70.88</v>
      </c>
      <c r="J557" s="23">
        <v>23.53</v>
      </c>
      <c r="K557" s="23">
        <v>471.96</v>
      </c>
    </row>
    <row r="558">
      <c r="A558" s="9"/>
      <c r="B558" s="9"/>
      <c r="G558" s="21">
        <v>45456.0</v>
      </c>
      <c r="H558" s="22">
        <v>0.16666666666666666</v>
      </c>
      <c r="I558" s="23">
        <v>71.43</v>
      </c>
      <c r="J558" s="23">
        <v>23.18</v>
      </c>
      <c r="K558" s="23">
        <v>476.5</v>
      </c>
    </row>
    <row r="559">
      <c r="A559" s="9"/>
      <c r="B559" s="9"/>
      <c r="G559" s="21">
        <v>45456.0</v>
      </c>
      <c r="H559" s="22">
        <v>0.20833333333333334</v>
      </c>
      <c r="I559" s="23">
        <v>71.79</v>
      </c>
      <c r="J559" s="23">
        <v>22.96</v>
      </c>
      <c r="K559" s="23">
        <v>482.63</v>
      </c>
    </row>
    <row r="560">
      <c r="A560" s="9"/>
      <c r="B560" s="9"/>
      <c r="G560" s="21">
        <v>45456.0</v>
      </c>
      <c r="H560" s="22">
        <v>0.25</v>
      </c>
      <c r="I560" s="23">
        <v>72.21</v>
      </c>
      <c r="J560" s="23">
        <v>23.87</v>
      </c>
      <c r="K560" s="23">
        <v>479.15</v>
      </c>
    </row>
    <row r="561">
      <c r="A561" s="9"/>
      <c r="B561" s="9"/>
      <c r="G561" s="21">
        <v>45456.0</v>
      </c>
      <c r="H561" s="22">
        <v>0.2916666666666667</v>
      </c>
      <c r="I561" s="23">
        <v>71.13</v>
      </c>
      <c r="J561" s="23">
        <v>25.18</v>
      </c>
      <c r="K561" s="23">
        <v>473.78</v>
      </c>
    </row>
    <row r="562">
      <c r="A562" s="9"/>
      <c r="B562" s="9"/>
      <c r="G562" s="21">
        <v>45456.0</v>
      </c>
      <c r="H562" s="22">
        <v>0.3333333333333333</v>
      </c>
      <c r="I562" s="23">
        <v>70.18</v>
      </c>
      <c r="J562" s="23">
        <v>25.43</v>
      </c>
      <c r="K562" s="23">
        <v>459.37</v>
      </c>
    </row>
    <row r="563">
      <c r="A563" s="9"/>
      <c r="B563" s="9"/>
      <c r="G563" s="21">
        <v>45456.0</v>
      </c>
      <c r="H563" s="22">
        <v>0.375</v>
      </c>
      <c r="I563" s="23">
        <v>67.33</v>
      </c>
      <c r="J563" s="23">
        <v>26.06</v>
      </c>
      <c r="K563" s="23">
        <v>454.52</v>
      </c>
    </row>
    <row r="564">
      <c r="A564" s="9"/>
      <c r="B564" s="9"/>
      <c r="G564" s="21">
        <v>45456.0</v>
      </c>
      <c r="H564" s="22">
        <v>0.4166666666666667</v>
      </c>
      <c r="I564" s="23">
        <v>64.0</v>
      </c>
      <c r="J564" s="23">
        <v>27.83</v>
      </c>
      <c r="K564" s="23">
        <v>449.24</v>
      </c>
    </row>
    <row r="565">
      <c r="A565" s="9"/>
      <c r="B565" s="9"/>
      <c r="G565" s="21">
        <v>45456.0</v>
      </c>
      <c r="H565" s="22">
        <v>0.4583333333333333</v>
      </c>
      <c r="I565" s="23">
        <v>61.38</v>
      </c>
      <c r="J565" s="23">
        <v>28.97</v>
      </c>
      <c r="K565" s="23">
        <v>442.79</v>
      </c>
    </row>
    <row r="566">
      <c r="A566" s="9"/>
      <c r="B566" s="9"/>
      <c r="G566" s="21">
        <v>45456.0</v>
      </c>
      <c r="H566" s="22">
        <v>0.5</v>
      </c>
      <c r="I566" s="23">
        <v>58.83</v>
      </c>
      <c r="J566" s="23">
        <v>29.85</v>
      </c>
      <c r="K566" s="23">
        <v>444.22</v>
      </c>
    </row>
    <row r="567">
      <c r="A567" s="9"/>
      <c r="B567" s="9"/>
      <c r="G567" s="21">
        <v>45456.0</v>
      </c>
      <c r="H567" s="22">
        <v>0.5416666666666666</v>
      </c>
      <c r="I567" s="23">
        <v>57.47</v>
      </c>
      <c r="J567" s="23">
        <v>30.15</v>
      </c>
      <c r="K567" s="23">
        <v>440.13</v>
      </c>
    </row>
    <row r="568">
      <c r="A568" s="9"/>
      <c r="B568" s="9"/>
      <c r="G568" s="21">
        <v>45456.0</v>
      </c>
      <c r="H568" s="22">
        <v>0.5833333333333334</v>
      </c>
      <c r="I568" s="23">
        <v>57.17</v>
      </c>
      <c r="J568" s="23">
        <v>30.33</v>
      </c>
      <c r="K568" s="23">
        <v>437.98</v>
      </c>
    </row>
    <row r="569">
      <c r="A569" s="9"/>
      <c r="B569" s="9"/>
      <c r="G569" s="21">
        <v>45456.0</v>
      </c>
      <c r="H569" s="22">
        <v>0.625</v>
      </c>
      <c r="I569" s="23">
        <v>58.05</v>
      </c>
      <c r="J569" s="23">
        <v>29.64</v>
      </c>
      <c r="K569" s="23">
        <v>429.33</v>
      </c>
    </row>
    <row r="570">
      <c r="A570" s="9"/>
      <c r="B570" s="9"/>
      <c r="G570" s="21">
        <v>45456.0</v>
      </c>
      <c r="H570" s="22">
        <v>0.6666666666666666</v>
      </c>
      <c r="I570" s="23">
        <v>59.29</v>
      </c>
      <c r="J570" s="23">
        <v>28.85</v>
      </c>
      <c r="K570" s="23">
        <v>423.94</v>
      </c>
    </row>
    <row r="571">
      <c r="A571" s="9"/>
      <c r="B571" s="9"/>
      <c r="G571" s="21">
        <v>45456.0</v>
      </c>
      <c r="H571" s="22">
        <v>0.7083333333333334</v>
      </c>
      <c r="I571" s="23">
        <v>60.62</v>
      </c>
      <c r="J571" s="23">
        <v>27.29</v>
      </c>
      <c r="K571" s="23">
        <v>418.54</v>
      </c>
    </row>
    <row r="572">
      <c r="A572" s="9"/>
      <c r="B572" s="9"/>
      <c r="G572" s="21">
        <v>45456.0</v>
      </c>
      <c r="H572" s="22">
        <v>0.75</v>
      </c>
      <c r="I572" s="23">
        <v>62.29</v>
      </c>
      <c r="J572" s="23">
        <v>25.98</v>
      </c>
      <c r="K572" s="23">
        <v>416.33</v>
      </c>
    </row>
    <row r="573">
      <c r="A573" s="9"/>
      <c r="B573" s="9"/>
      <c r="G573" s="21">
        <v>45456.0</v>
      </c>
      <c r="H573" s="22">
        <v>0.7916666666666666</v>
      </c>
      <c r="I573" s="23">
        <v>64.17</v>
      </c>
      <c r="J573" s="23">
        <v>25.68</v>
      </c>
      <c r="K573" s="23">
        <v>420.16</v>
      </c>
    </row>
    <row r="574">
      <c r="A574" s="9"/>
      <c r="B574" s="9"/>
      <c r="G574" s="21">
        <v>45456.0</v>
      </c>
      <c r="H574" s="22">
        <v>0.8333333333333334</v>
      </c>
      <c r="I574" s="23">
        <v>65.62</v>
      </c>
      <c r="J574" s="23">
        <v>24.83</v>
      </c>
      <c r="K574" s="23">
        <v>424.73</v>
      </c>
    </row>
    <row r="575">
      <c r="A575" s="9"/>
      <c r="B575" s="9"/>
      <c r="G575" s="21">
        <v>45456.0</v>
      </c>
      <c r="H575" s="22">
        <v>0.875</v>
      </c>
      <c r="I575" s="23">
        <v>67.23</v>
      </c>
      <c r="J575" s="23">
        <v>24.79</v>
      </c>
      <c r="K575" s="23">
        <v>431.24</v>
      </c>
    </row>
    <row r="576">
      <c r="A576" s="9"/>
      <c r="B576" s="9"/>
      <c r="G576" s="21">
        <v>45456.0</v>
      </c>
      <c r="H576" s="22">
        <v>0.9166666666666666</v>
      </c>
      <c r="I576" s="23">
        <v>68.55</v>
      </c>
      <c r="J576" s="23">
        <v>24.08</v>
      </c>
      <c r="K576" s="23">
        <v>434.47</v>
      </c>
    </row>
    <row r="577">
      <c r="A577" s="9"/>
      <c r="B577" s="9"/>
      <c r="G577" s="21">
        <v>45456.0</v>
      </c>
      <c r="H577" s="22">
        <v>0.9583333333333334</v>
      </c>
      <c r="I577" s="23">
        <v>68.65</v>
      </c>
      <c r="J577" s="23">
        <v>23.21</v>
      </c>
      <c r="K577" s="23">
        <v>439.88</v>
      </c>
    </row>
    <row r="578">
      <c r="A578" s="9"/>
      <c r="B578" s="9"/>
      <c r="G578" s="21">
        <v>45457.0</v>
      </c>
      <c r="H578" s="22">
        <v>0.0</v>
      </c>
      <c r="I578" s="23">
        <v>68.64</v>
      </c>
      <c r="J578" s="23">
        <v>25.01</v>
      </c>
      <c r="K578" s="23">
        <v>450.62</v>
      </c>
    </row>
    <row r="579">
      <c r="A579" s="9"/>
      <c r="B579" s="9"/>
      <c r="G579" s="21">
        <v>45457.0</v>
      </c>
      <c r="H579" s="22">
        <v>0.041666666666666664</v>
      </c>
      <c r="I579" s="23">
        <v>68.74</v>
      </c>
      <c r="J579" s="23">
        <v>24.92</v>
      </c>
      <c r="K579" s="23">
        <v>460.28</v>
      </c>
    </row>
    <row r="580">
      <c r="A580" s="9"/>
      <c r="B580" s="9"/>
      <c r="G580" s="21">
        <v>45457.0</v>
      </c>
      <c r="H580" s="22">
        <v>0.08333333333333333</v>
      </c>
      <c r="I580" s="23">
        <v>69.54</v>
      </c>
      <c r="J580" s="23">
        <v>24.49</v>
      </c>
      <c r="K580" s="23">
        <v>464.65</v>
      </c>
    </row>
    <row r="581">
      <c r="A581" s="9"/>
      <c r="B581" s="9"/>
      <c r="G581" s="21">
        <v>45457.0</v>
      </c>
      <c r="H581" s="22">
        <v>0.125</v>
      </c>
      <c r="I581" s="23">
        <v>70.46</v>
      </c>
      <c r="J581" s="23">
        <v>24.52</v>
      </c>
      <c r="K581" s="23">
        <v>467.47</v>
      </c>
    </row>
    <row r="582">
      <c r="A582" s="9"/>
      <c r="B582" s="9"/>
      <c r="G582" s="21">
        <v>45457.0</v>
      </c>
      <c r="H582" s="22">
        <v>0.16666666666666666</v>
      </c>
      <c r="I582" s="23">
        <v>70.48</v>
      </c>
      <c r="J582" s="23">
        <v>24.72</v>
      </c>
      <c r="K582" s="23">
        <v>466.56</v>
      </c>
    </row>
    <row r="583">
      <c r="A583" s="9"/>
      <c r="B583" s="9"/>
      <c r="G583" s="21">
        <v>45457.0</v>
      </c>
      <c r="H583" s="22">
        <v>0.20833333333333334</v>
      </c>
      <c r="I583" s="23">
        <v>70.83</v>
      </c>
      <c r="J583" s="23">
        <v>24.39</v>
      </c>
      <c r="K583" s="23">
        <v>458.65</v>
      </c>
    </row>
    <row r="584">
      <c r="A584" s="9"/>
      <c r="B584" s="9"/>
      <c r="G584" s="21">
        <v>45457.0</v>
      </c>
      <c r="H584" s="22">
        <v>0.25</v>
      </c>
      <c r="I584" s="23">
        <v>70.66</v>
      </c>
      <c r="J584" s="23">
        <v>25.17</v>
      </c>
      <c r="K584" s="23">
        <v>462.16</v>
      </c>
    </row>
    <row r="585">
      <c r="A585" s="9"/>
      <c r="B585" s="9"/>
      <c r="G585" s="21">
        <v>45457.0</v>
      </c>
      <c r="H585" s="22">
        <v>0.2916666666666667</v>
      </c>
      <c r="I585" s="23">
        <v>68.64</v>
      </c>
      <c r="J585" s="23">
        <v>24.97</v>
      </c>
      <c r="K585" s="23">
        <v>453.69</v>
      </c>
    </row>
    <row r="586">
      <c r="A586" s="9"/>
      <c r="B586" s="9"/>
      <c r="G586" s="21">
        <v>45457.0</v>
      </c>
      <c r="H586" s="22">
        <v>0.3333333333333333</v>
      </c>
      <c r="I586" s="23">
        <v>65.86</v>
      </c>
      <c r="J586" s="23">
        <v>25.97</v>
      </c>
      <c r="K586" s="23">
        <v>444.56</v>
      </c>
    </row>
    <row r="587">
      <c r="A587" s="9"/>
      <c r="B587" s="9"/>
      <c r="G587" s="21">
        <v>45457.0</v>
      </c>
      <c r="H587" s="22">
        <v>0.375</v>
      </c>
      <c r="I587" s="23">
        <v>60.55</v>
      </c>
      <c r="J587" s="23">
        <v>30.22</v>
      </c>
      <c r="K587" s="23">
        <v>436.37</v>
      </c>
    </row>
    <row r="588">
      <c r="A588" s="9"/>
      <c r="B588" s="9"/>
      <c r="G588" s="21">
        <v>45457.0</v>
      </c>
      <c r="H588" s="22">
        <v>0.4166666666666667</v>
      </c>
      <c r="I588" s="23">
        <v>49.68</v>
      </c>
      <c r="J588" s="23">
        <v>40.45</v>
      </c>
      <c r="K588" s="23">
        <v>468.82</v>
      </c>
    </row>
    <row r="589">
      <c r="A589" s="9"/>
      <c r="B589" s="9"/>
      <c r="G589" s="21">
        <v>45457.0</v>
      </c>
      <c r="H589" s="22">
        <v>0.4583333333333333</v>
      </c>
      <c r="I589" s="23">
        <v>44.58</v>
      </c>
      <c r="J589" s="23">
        <v>42.5</v>
      </c>
      <c r="K589" s="23">
        <v>504.67</v>
      </c>
    </row>
    <row r="590">
      <c r="A590" s="9"/>
      <c r="B590" s="9"/>
      <c r="G590" s="21">
        <v>45457.0</v>
      </c>
      <c r="H590" s="22">
        <v>0.5</v>
      </c>
      <c r="I590" s="23">
        <v>42.22</v>
      </c>
      <c r="J590" s="23">
        <v>42.95</v>
      </c>
      <c r="K590" s="23">
        <v>506.8</v>
      </c>
    </row>
    <row r="591">
      <c r="A591" s="9"/>
      <c r="B591" s="9"/>
      <c r="G591" s="21">
        <v>45457.0</v>
      </c>
      <c r="H591" s="22">
        <v>0.5416666666666666</v>
      </c>
      <c r="I591" s="23">
        <v>39.59</v>
      </c>
      <c r="J591" s="23">
        <v>44.28</v>
      </c>
      <c r="K591" s="23">
        <v>508.63</v>
      </c>
    </row>
    <row r="592">
      <c r="A592" s="9"/>
      <c r="B592" s="9"/>
      <c r="G592" s="21">
        <v>45457.0</v>
      </c>
      <c r="H592" s="22">
        <v>0.5833333333333334</v>
      </c>
      <c r="I592" s="23">
        <v>37.73</v>
      </c>
      <c r="J592" s="23">
        <v>44.49</v>
      </c>
      <c r="K592" s="23">
        <v>493.81</v>
      </c>
    </row>
    <row r="593">
      <c r="A593" s="9"/>
      <c r="B593" s="9"/>
      <c r="G593" s="21">
        <v>45457.0</v>
      </c>
      <c r="H593" s="22">
        <v>0.625</v>
      </c>
      <c r="I593" s="23">
        <v>37.9</v>
      </c>
      <c r="J593" s="23">
        <v>39.96</v>
      </c>
      <c r="K593" s="23">
        <v>463.47</v>
      </c>
    </row>
    <row r="594">
      <c r="A594" s="9"/>
      <c r="B594" s="9"/>
      <c r="G594" s="21">
        <v>45457.0</v>
      </c>
      <c r="H594" s="22">
        <v>0.6666666666666666</v>
      </c>
      <c r="I594" s="23">
        <v>45.49</v>
      </c>
      <c r="J594" s="23">
        <v>28.92</v>
      </c>
      <c r="K594" s="23">
        <v>405.65</v>
      </c>
    </row>
    <row r="595">
      <c r="A595" s="9"/>
      <c r="B595" s="9"/>
      <c r="G595" s="21">
        <v>45457.0</v>
      </c>
      <c r="H595" s="22">
        <v>0.7083333333333334</v>
      </c>
      <c r="I595" s="23">
        <v>49.13</v>
      </c>
      <c r="J595" s="23">
        <v>27.65</v>
      </c>
      <c r="K595" s="23">
        <v>414.11</v>
      </c>
    </row>
    <row r="596">
      <c r="A596" s="9"/>
      <c r="B596" s="9"/>
      <c r="G596" s="21">
        <v>45457.0</v>
      </c>
      <c r="H596" s="22">
        <v>0.75</v>
      </c>
      <c r="I596" s="23">
        <v>51.66</v>
      </c>
      <c r="J596" s="23">
        <v>26.87</v>
      </c>
      <c r="K596" s="23">
        <v>420.02</v>
      </c>
    </row>
    <row r="597">
      <c r="A597" s="9"/>
      <c r="B597" s="9"/>
      <c r="G597" s="21">
        <v>45457.0</v>
      </c>
      <c r="H597" s="22">
        <v>0.7916666666666666</v>
      </c>
      <c r="I597" s="23">
        <v>51.17</v>
      </c>
      <c r="J597" s="23">
        <v>31.48</v>
      </c>
      <c r="K597" s="23">
        <v>427.93</v>
      </c>
    </row>
    <row r="598">
      <c r="A598" s="9"/>
      <c r="B598" s="9"/>
      <c r="G598" s="21">
        <v>45457.0</v>
      </c>
      <c r="H598" s="22">
        <v>0.8333333333333334</v>
      </c>
      <c r="I598" s="23">
        <v>56.72</v>
      </c>
      <c r="J598" s="23">
        <v>28.56</v>
      </c>
      <c r="K598" s="23">
        <v>437.07</v>
      </c>
    </row>
    <row r="599">
      <c r="A599" s="9"/>
      <c r="B599" s="9"/>
      <c r="G599" s="21">
        <v>45457.0</v>
      </c>
      <c r="H599" s="22">
        <v>0.875</v>
      </c>
      <c r="I599" s="23">
        <v>59.83</v>
      </c>
      <c r="J599" s="23">
        <v>27.68</v>
      </c>
      <c r="K599" s="23">
        <v>442.29</v>
      </c>
    </row>
    <row r="600">
      <c r="A600" s="9"/>
      <c r="B600" s="9"/>
      <c r="G600" s="21">
        <v>45457.0</v>
      </c>
      <c r="H600" s="22">
        <v>0.9166666666666666</v>
      </c>
      <c r="I600" s="23">
        <v>62.17</v>
      </c>
      <c r="J600" s="23">
        <v>26.53</v>
      </c>
      <c r="K600" s="23">
        <v>443.41</v>
      </c>
    </row>
    <row r="601">
      <c r="A601" s="9"/>
      <c r="B601" s="9"/>
      <c r="G601" s="21">
        <v>45457.0</v>
      </c>
      <c r="H601" s="22">
        <v>0.9583333333333334</v>
      </c>
      <c r="I601" s="23">
        <v>63.97</v>
      </c>
      <c r="J601" s="23">
        <v>25.84</v>
      </c>
      <c r="K601" s="23">
        <v>447.57</v>
      </c>
    </row>
    <row r="602">
      <c r="A602" s="9"/>
      <c r="B602" s="9"/>
      <c r="G602" s="21">
        <v>45458.0</v>
      </c>
      <c r="H602" s="22">
        <v>0.0</v>
      </c>
      <c r="I602" s="23">
        <v>64.89</v>
      </c>
      <c r="J602" s="23">
        <v>24.51</v>
      </c>
      <c r="K602" s="23">
        <v>455.96</v>
      </c>
    </row>
    <row r="603">
      <c r="A603" s="9"/>
      <c r="B603" s="9"/>
      <c r="G603" s="21">
        <v>45458.0</v>
      </c>
      <c r="H603" s="22">
        <v>0.041666666666666664</v>
      </c>
      <c r="I603" s="23">
        <v>65.35</v>
      </c>
      <c r="J603" s="23">
        <v>24.6</v>
      </c>
      <c r="K603" s="23">
        <v>473.05</v>
      </c>
    </row>
    <row r="604">
      <c r="A604" s="9"/>
      <c r="B604" s="9"/>
      <c r="G604" s="21">
        <v>45458.0</v>
      </c>
      <c r="H604" s="22">
        <v>0.08333333333333333</v>
      </c>
      <c r="I604" s="23">
        <v>63.57</v>
      </c>
      <c r="J604" s="23">
        <v>26.78</v>
      </c>
      <c r="K604" s="23">
        <v>471.23</v>
      </c>
    </row>
    <row r="605">
      <c r="A605" s="9"/>
      <c r="B605" s="9"/>
      <c r="G605" s="21">
        <v>45458.0</v>
      </c>
      <c r="H605" s="22">
        <v>0.125</v>
      </c>
      <c r="I605" s="23">
        <v>63.1</v>
      </c>
      <c r="J605" s="23">
        <v>26.71</v>
      </c>
      <c r="K605" s="23">
        <v>474.39</v>
      </c>
    </row>
    <row r="606">
      <c r="A606" s="9"/>
      <c r="B606" s="9"/>
      <c r="G606" s="21">
        <v>45458.0</v>
      </c>
      <c r="H606" s="22">
        <v>0.16666666666666666</v>
      </c>
      <c r="I606" s="23">
        <v>63.3</v>
      </c>
      <c r="J606" s="23">
        <v>26.31</v>
      </c>
      <c r="K606" s="23">
        <v>475.0</v>
      </c>
    </row>
    <row r="607">
      <c r="A607" s="9"/>
      <c r="B607" s="9"/>
      <c r="G607" s="21">
        <v>45458.0</v>
      </c>
      <c r="H607" s="22">
        <v>0.20833333333333334</v>
      </c>
      <c r="I607" s="23">
        <v>63.91</v>
      </c>
      <c r="J607" s="23">
        <v>25.72</v>
      </c>
      <c r="K607" s="23">
        <v>475.04</v>
      </c>
    </row>
    <row r="608">
      <c r="A608" s="9"/>
      <c r="B608" s="9"/>
      <c r="G608" s="21">
        <v>45458.0</v>
      </c>
      <c r="H608" s="22">
        <v>0.25</v>
      </c>
      <c r="I608" s="23">
        <v>64.25</v>
      </c>
      <c r="J608" s="23">
        <v>25.98</v>
      </c>
      <c r="K608" s="23">
        <v>477.86</v>
      </c>
    </row>
    <row r="609">
      <c r="A609" s="9"/>
      <c r="B609" s="9"/>
      <c r="G609" s="21">
        <v>45458.0</v>
      </c>
      <c r="H609" s="22">
        <v>0.2916666666666667</v>
      </c>
      <c r="I609" s="23">
        <v>62.29</v>
      </c>
      <c r="J609" s="23">
        <v>28.78</v>
      </c>
      <c r="K609" s="23">
        <v>475.72</v>
      </c>
    </row>
    <row r="610">
      <c r="A610" s="9"/>
      <c r="B610" s="9"/>
      <c r="G610" s="21">
        <v>45458.0</v>
      </c>
      <c r="H610" s="22">
        <v>0.3333333333333333</v>
      </c>
      <c r="I610" s="23">
        <v>58.72</v>
      </c>
      <c r="J610" s="23">
        <v>31.87</v>
      </c>
      <c r="K610" s="23">
        <v>466.69</v>
      </c>
    </row>
    <row r="611">
      <c r="A611" s="9"/>
      <c r="B611" s="9"/>
      <c r="G611" s="21">
        <v>45458.0</v>
      </c>
      <c r="H611" s="22">
        <v>0.375</v>
      </c>
      <c r="I611" s="23">
        <v>58.16</v>
      </c>
      <c r="J611" s="23">
        <v>30.31</v>
      </c>
      <c r="K611" s="23">
        <v>458.88</v>
      </c>
    </row>
    <row r="612">
      <c r="A612" s="9"/>
      <c r="B612" s="9"/>
      <c r="G612" s="21">
        <v>45458.0</v>
      </c>
      <c r="H612" s="22">
        <v>0.4166666666666667</v>
      </c>
      <c r="I612" s="23">
        <v>57.65</v>
      </c>
      <c r="J612" s="23">
        <v>30.13</v>
      </c>
      <c r="K612" s="23">
        <v>458.67</v>
      </c>
    </row>
    <row r="613">
      <c r="A613" s="9"/>
      <c r="B613" s="9"/>
      <c r="G613" s="21">
        <v>45458.0</v>
      </c>
      <c r="H613" s="22">
        <v>0.4583333333333333</v>
      </c>
      <c r="I613" s="23">
        <v>55.45</v>
      </c>
      <c r="J613" s="23">
        <v>30.04</v>
      </c>
      <c r="K613" s="23">
        <v>456.05</v>
      </c>
    </row>
    <row r="614">
      <c r="A614" s="9"/>
      <c r="B614" s="9"/>
      <c r="G614" s="21">
        <v>45458.0</v>
      </c>
      <c r="H614" s="22">
        <v>0.5</v>
      </c>
      <c r="I614" s="23">
        <v>52.9</v>
      </c>
      <c r="J614" s="23">
        <v>30.25</v>
      </c>
      <c r="K614" s="23">
        <v>451.23</v>
      </c>
    </row>
    <row r="615">
      <c r="A615" s="9"/>
      <c r="B615" s="9"/>
      <c r="G615" s="21">
        <v>45458.0</v>
      </c>
      <c r="H615" s="22">
        <v>0.5416666666666666</v>
      </c>
      <c r="I615" s="23">
        <v>52.27</v>
      </c>
      <c r="J615" s="23">
        <v>31.31</v>
      </c>
      <c r="K615" s="23">
        <v>447.76</v>
      </c>
    </row>
    <row r="616">
      <c r="A616" s="9"/>
      <c r="B616" s="9"/>
      <c r="G616" s="21">
        <v>45458.0</v>
      </c>
      <c r="H616" s="22">
        <v>0.5833333333333334</v>
      </c>
      <c r="I616" s="23">
        <v>52.56</v>
      </c>
      <c r="J616" s="23">
        <v>31.24</v>
      </c>
      <c r="K616" s="23">
        <v>443.68</v>
      </c>
    </row>
    <row r="617">
      <c r="A617" s="9"/>
      <c r="B617" s="9"/>
      <c r="G617" s="21">
        <v>45458.0</v>
      </c>
      <c r="H617" s="22">
        <v>0.625</v>
      </c>
      <c r="I617" s="23">
        <v>53.32</v>
      </c>
      <c r="J617" s="23">
        <v>29.92</v>
      </c>
      <c r="K617" s="23">
        <v>433.23</v>
      </c>
    </row>
    <row r="618">
      <c r="A618" s="9"/>
      <c r="B618" s="9"/>
      <c r="G618" s="21">
        <v>45458.0</v>
      </c>
      <c r="H618" s="22">
        <v>0.6666666666666666</v>
      </c>
      <c r="I618" s="23">
        <v>54.2</v>
      </c>
      <c r="J618" s="23">
        <v>29.11</v>
      </c>
      <c r="K618" s="23">
        <v>430.75</v>
      </c>
    </row>
    <row r="619">
      <c r="A619" s="9"/>
      <c r="B619" s="9"/>
      <c r="G619" s="21">
        <v>45458.0</v>
      </c>
      <c r="H619" s="22">
        <v>0.7083333333333334</v>
      </c>
      <c r="I619" s="23">
        <v>55.66</v>
      </c>
      <c r="J619" s="23">
        <v>29.1</v>
      </c>
      <c r="K619" s="23">
        <v>426.87</v>
      </c>
    </row>
    <row r="620">
      <c r="A620" s="9"/>
      <c r="B620" s="9"/>
      <c r="G620" s="21">
        <v>45458.0</v>
      </c>
      <c r="H620" s="22">
        <v>0.75</v>
      </c>
      <c r="I620" s="23">
        <v>58.61</v>
      </c>
      <c r="J620" s="23">
        <v>28.13</v>
      </c>
      <c r="K620" s="23">
        <v>431.67</v>
      </c>
    </row>
    <row r="621">
      <c r="A621" s="9"/>
      <c r="B621" s="9"/>
      <c r="G621" s="21">
        <v>45458.0</v>
      </c>
      <c r="H621" s="22">
        <v>0.7916666666666666</v>
      </c>
      <c r="I621" s="23">
        <v>61.13</v>
      </c>
      <c r="J621" s="23">
        <v>25.96</v>
      </c>
      <c r="K621" s="23">
        <v>433.67</v>
      </c>
    </row>
    <row r="622">
      <c r="A622" s="9"/>
      <c r="B622" s="9"/>
      <c r="G622" s="21">
        <v>45458.0</v>
      </c>
      <c r="H622" s="22">
        <v>0.8333333333333334</v>
      </c>
      <c r="I622" s="23">
        <v>62.76</v>
      </c>
      <c r="J622" s="23">
        <v>24.22</v>
      </c>
      <c r="K622" s="23">
        <v>435.61</v>
      </c>
    </row>
    <row r="623">
      <c r="A623" s="9"/>
      <c r="B623" s="9"/>
      <c r="G623" s="21">
        <v>45458.0</v>
      </c>
      <c r="H623" s="22">
        <v>0.875</v>
      </c>
      <c r="I623" s="23">
        <v>63.93</v>
      </c>
      <c r="J623" s="23">
        <v>23.14</v>
      </c>
      <c r="K623" s="23">
        <v>433.93</v>
      </c>
    </row>
    <row r="624">
      <c r="A624" s="9"/>
      <c r="B624" s="9"/>
      <c r="G624" s="21">
        <v>45458.0</v>
      </c>
      <c r="H624" s="22">
        <v>0.9166666666666666</v>
      </c>
      <c r="I624" s="23">
        <v>63.68</v>
      </c>
      <c r="J624" s="23">
        <v>25.46</v>
      </c>
      <c r="K624" s="23">
        <v>446.69</v>
      </c>
    </row>
    <row r="625">
      <c r="A625" s="9"/>
      <c r="B625" s="9"/>
      <c r="G625" s="21">
        <v>45458.0</v>
      </c>
      <c r="H625" s="22">
        <v>0.9583333333333334</v>
      </c>
      <c r="I625" s="23">
        <v>63.53</v>
      </c>
      <c r="J625" s="23">
        <v>26.24</v>
      </c>
      <c r="K625" s="23">
        <v>463.39</v>
      </c>
    </row>
    <row r="626">
      <c r="A626" s="9"/>
      <c r="B626" s="9"/>
      <c r="G626" s="21">
        <v>45459.0</v>
      </c>
      <c r="H626" s="22">
        <v>0.0</v>
      </c>
      <c r="I626" s="23">
        <v>63.75</v>
      </c>
      <c r="J626" s="23">
        <v>26.27</v>
      </c>
      <c r="K626" s="23">
        <v>474.39</v>
      </c>
    </row>
    <row r="627">
      <c r="A627" s="9"/>
      <c r="B627" s="9"/>
      <c r="G627" s="21">
        <v>45459.0</v>
      </c>
      <c r="H627" s="22">
        <v>0.041666666666666664</v>
      </c>
      <c r="I627" s="23">
        <v>64.85</v>
      </c>
      <c r="J627" s="23">
        <v>26.15</v>
      </c>
      <c r="K627" s="23">
        <v>475.55</v>
      </c>
    </row>
    <row r="628">
      <c r="A628" s="9"/>
      <c r="B628" s="9"/>
      <c r="G628" s="21">
        <v>45459.0</v>
      </c>
      <c r="H628" s="22">
        <v>0.08333333333333333</v>
      </c>
      <c r="I628" s="23">
        <v>66.79</v>
      </c>
      <c r="J628" s="23">
        <v>25.53</v>
      </c>
      <c r="K628" s="23">
        <v>469.88</v>
      </c>
    </row>
    <row r="629">
      <c r="A629" s="9"/>
      <c r="B629" s="9"/>
      <c r="G629" s="21">
        <v>45459.0</v>
      </c>
      <c r="H629" s="22">
        <v>0.125</v>
      </c>
      <c r="I629" s="23">
        <v>67.07</v>
      </c>
      <c r="J629" s="23">
        <v>25.39</v>
      </c>
      <c r="K629" s="23">
        <v>473.1</v>
      </c>
    </row>
    <row r="630">
      <c r="A630" s="9"/>
      <c r="B630" s="9"/>
      <c r="G630" s="21">
        <v>45459.0</v>
      </c>
      <c r="H630" s="22">
        <v>0.16666666666666666</v>
      </c>
      <c r="I630" s="23">
        <v>67.67</v>
      </c>
      <c r="J630" s="23">
        <v>24.96</v>
      </c>
      <c r="K630" s="23">
        <v>478.03</v>
      </c>
    </row>
    <row r="631">
      <c r="A631" s="9"/>
      <c r="B631" s="9"/>
      <c r="G631" s="21">
        <v>45459.0</v>
      </c>
      <c r="H631" s="22">
        <v>0.20833333333333334</v>
      </c>
      <c r="I631" s="23">
        <v>68.33</v>
      </c>
      <c r="J631" s="23">
        <v>24.73</v>
      </c>
      <c r="K631" s="23">
        <v>485.14</v>
      </c>
    </row>
    <row r="632">
      <c r="A632" s="9"/>
      <c r="B632" s="9"/>
      <c r="G632" s="21">
        <v>45459.0</v>
      </c>
      <c r="H632" s="22">
        <v>0.25</v>
      </c>
      <c r="I632" s="23">
        <v>68.57</v>
      </c>
      <c r="J632" s="23">
        <v>25.43</v>
      </c>
      <c r="K632" s="23">
        <v>493.25</v>
      </c>
    </row>
    <row r="633">
      <c r="A633" s="9"/>
      <c r="B633" s="9"/>
      <c r="G633" s="21">
        <v>45459.0</v>
      </c>
      <c r="H633" s="22">
        <v>0.2916666666666667</v>
      </c>
      <c r="I633" s="23">
        <v>68.4</v>
      </c>
      <c r="J633" s="23">
        <v>25.1</v>
      </c>
      <c r="K633" s="23">
        <v>484.05</v>
      </c>
    </row>
    <row r="634">
      <c r="A634" s="9"/>
      <c r="B634" s="9"/>
      <c r="G634" s="21">
        <v>45459.0</v>
      </c>
      <c r="H634" s="22">
        <v>0.3333333333333333</v>
      </c>
      <c r="I634" s="23">
        <v>67.15</v>
      </c>
      <c r="J634" s="23">
        <v>24.84</v>
      </c>
      <c r="K634" s="23">
        <v>470.36</v>
      </c>
    </row>
    <row r="635">
      <c r="A635" s="9"/>
      <c r="B635" s="9"/>
      <c r="G635" s="21">
        <v>45459.0</v>
      </c>
      <c r="H635" s="22">
        <v>0.375</v>
      </c>
      <c r="I635" s="23">
        <v>64.23</v>
      </c>
      <c r="J635" s="23">
        <v>25.39</v>
      </c>
      <c r="K635" s="23">
        <v>462.51</v>
      </c>
    </row>
    <row r="636">
      <c r="A636" s="9"/>
      <c r="B636" s="9"/>
      <c r="G636" s="21">
        <v>45459.0</v>
      </c>
      <c r="H636" s="22">
        <v>0.4166666666666667</v>
      </c>
      <c r="I636" s="23">
        <v>60.87</v>
      </c>
      <c r="J636" s="23">
        <v>27.47</v>
      </c>
      <c r="K636" s="23">
        <v>453.71</v>
      </c>
    </row>
    <row r="637">
      <c r="A637" s="9"/>
      <c r="B637" s="9"/>
      <c r="G637" s="21">
        <v>45459.0</v>
      </c>
      <c r="H637" s="22">
        <v>0.4583333333333333</v>
      </c>
      <c r="I637" s="23">
        <v>59.07</v>
      </c>
      <c r="J637" s="23">
        <v>27.66</v>
      </c>
      <c r="K637" s="23">
        <v>448.38</v>
      </c>
    </row>
    <row r="638">
      <c r="A638" s="9"/>
      <c r="B638" s="9"/>
      <c r="G638" s="21">
        <v>45459.0</v>
      </c>
      <c r="H638" s="22">
        <v>0.5</v>
      </c>
      <c r="I638" s="23">
        <v>57.34</v>
      </c>
      <c r="J638" s="23">
        <v>27.77</v>
      </c>
      <c r="K638" s="23">
        <v>444.09</v>
      </c>
    </row>
    <row r="639">
      <c r="A639" s="9"/>
      <c r="B639" s="9"/>
      <c r="G639" s="21">
        <v>45459.0</v>
      </c>
      <c r="H639" s="22">
        <v>0.5416666666666666</v>
      </c>
      <c r="I639" s="23">
        <v>56.02</v>
      </c>
      <c r="J639" s="23">
        <v>27.32</v>
      </c>
      <c r="K639" s="23">
        <v>440.19</v>
      </c>
    </row>
    <row r="640">
      <c r="A640" s="9"/>
      <c r="B640" s="9"/>
      <c r="G640" s="21">
        <v>45459.0</v>
      </c>
      <c r="H640" s="22">
        <v>0.5833333333333334</v>
      </c>
      <c r="I640" s="23">
        <v>55.77</v>
      </c>
      <c r="J640" s="23">
        <v>27.93</v>
      </c>
      <c r="K640" s="23">
        <v>436.9</v>
      </c>
    </row>
    <row r="641">
      <c r="A641" s="9"/>
      <c r="B641" s="9"/>
      <c r="G641" s="21">
        <v>45459.0</v>
      </c>
      <c r="H641" s="22">
        <v>0.625</v>
      </c>
      <c r="I641" s="23">
        <v>56.77</v>
      </c>
      <c r="J641" s="23">
        <v>28.01</v>
      </c>
      <c r="K641" s="23">
        <v>435.74</v>
      </c>
    </row>
    <row r="642">
      <c r="A642" s="9"/>
      <c r="B642" s="9"/>
      <c r="G642" s="21">
        <v>45459.0</v>
      </c>
      <c r="H642" s="22">
        <v>0.6666666666666666</v>
      </c>
      <c r="I642" s="23">
        <v>58.08</v>
      </c>
      <c r="J642" s="23">
        <v>27.28</v>
      </c>
      <c r="K642" s="23">
        <v>432.6</v>
      </c>
    </row>
    <row r="643">
      <c r="A643" s="9"/>
      <c r="B643" s="9"/>
      <c r="G643" s="21">
        <v>45459.0</v>
      </c>
      <c r="H643" s="22">
        <v>0.7083333333333334</v>
      </c>
      <c r="I643" s="23">
        <v>59.11</v>
      </c>
      <c r="J643" s="23">
        <v>26.04</v>
      </c>
      <c r="K643" s="23">
        <v>434.83</v>
      </c>
    </row>
    <row r="644">
      <c r="A644" s="9"/>
      <c r="B644" s="9"/>
      <c r="G644" s="21">
        <v>45459.0</v>
      </c>
      <c r="H644" s="22">
        <v>0.75</v>
      </c>
      <c r="I644" s="23">
        <v>61.37</v>
      </c>
      <c r="J644" s="23">
        <v>25.16</v>
      </c>
      <c r="K644" s="23">
        <v>432.87</v>
      </c>
    </row>
    <row r="645">
      <c r="A645" s="9"/>
      <c r="B645" s="9"/>
      <c r="G645" s="21">
        <v>45459.0</v>
      </c>
      <c r="H645" s="22">
        <v>0.7916666666666666</v>
      </c>
      <c r="I645" s="23">
        <v>62.74</v>
      </c>
      <c r="J645" s="23">
        <v>23.58</v>
      </c>
      <c r="K645" s="23">
        <v>432.34</v>
      </c>
    </row>
    <row r="646">
      <c r="A646" s="9"/>
      <c r="B646" s="9"/>
      <c r="G646" s="21">
        <v>45459.0</v>
      </c>
      <c r="H646" s="22">
        <v>0.8333333333333334</v>
      </c>
      <c r="I646" s="23">
        <v>62.9</v>
      </c>
      <c r="J646" s="23">
        <v>25.96</v>
      </c>
      <c r="K646" s="23">
        <v>440.95</v>
      </c>
    </row>
    <row r="647">
      <c r="A647" s="9"/>
      <c r="B647" s="9"/>
      <c r="G647" s="21">
        <v>45459.0</v>
      </c>
      <c r="H647" s="22">
        <v>0.875</v>
      </c>
      <c r="I647" s="23">
        <v>62.93</v>
      </c>
      <c r="J647" s="23">
        <v>27.31</v>
      </c>
      <c r="K647" s="23">
        <v>445.78</v>
      </c>
    </row>
    <row r="648">
      <c r="A648" s="9"/>
      <c r="B648" s="9"/>
      <c r="G648" s="21">
        <v>45459.0</v>
      </c>
      <c r="H648" s="22">
        <v>0.9166666666666666</v>
      </c>
      <c r="I648" s="23">
        <v>63.86</v>
      </c>
      <c r="J648" s="23">
        <v>26.58</v>
      </c>
      <c r="K648" s="23">
        <v>449.54</v>
      </c>
    </row>
    <row r="649">
      <c r="A649" s="9"/>
      <c r="B649" s="9"/>
      <c r="G649" s="21">
        <v>45459.0</v>
      </c>
      <c r="H649" s="22">
        <v>0.9583333333333334</v>
      </c>
      <c r="I649" s="23">
        <v>64.16</v>
      </c>
      <c r="J649" s="23">
        <v>25.82</v>
      </c>
      <c r="K649" s="23">
        <v>453.21</v>
      </c>
    </row>
    <row r="650">
      <c r="A650" s="9"/>
      <c r="B650" s="9"/>
      <c r="G650" s="21">
        <v>45460.0</v>
      </c>
      <c r="H650" s="22">
        <v>0.0</v>
      </c>
      <c r="I650" s="23">
        <v>65.52</v>
      </c>
      <c r="J650" s="23">
        <v>25.32</v>
      </c>
      <c r="K650" s="23">
        <v>455.77</v>
      </c>
    </row>
    <row r="651">
      <c r="A651" s="9"/>
      <c r="B651" s="9"/>
      <c r="G651" s="21">
        <v>45460.0</v>
      </c>
      <c r="H651" s="22">
        <v>0.041666666666666664</v>
      </c>
      <c r="I651" s="23">
        <v>66.44</v>
      </c>
      <c r="J651" s="23">
        <v>24.82</v>
      </c>
      <c r="K651" s="23">
        <v>459.44</v>
      </c>
    </row>
    <row r="652">
      <c r="A652" s="9"/>
      <c r="B652" s="9"/>
      <c r="G652" s="21">
        <v>45460.0</v>
      </c>
      <c r="H652" s="22">
        <v>0.08333333333333333</v>
      </c>
      <c r="I652" s="23">
        <v>67.42</v>
      </c>
      <c r="J652" s="23">
        <v>24.15</v>
      </c>
      <c r="K652" s="23">
        <v>467.09</v>
      </c>
    </row>
    <row r="653">
      <c r="A653" s="9"/>
      <c r="B653" s="9"/>
      <c r="G653" s="21">
        <v>45460.0</v>
      </c>
      <c r="H653" s="22">
        <v>0.125</v>
      </c>
      <c r="I653" s="23">
        <v>68.03</v>
      </c>
      <c r="J653" s="23">
        <v>23.67</v>
      </c>
      <c r="K653" s="23">
        <v>476.85</v>
      </c>
    </row>
    <row r="654">
      <c r="A654" s="9"/>
      <c r="B654" s="9"/>
      <c r="G654" s="21">
        <v>45460.0</v>
      </c>
      <c r="H654" s="22">
        <v>0.16666666666666666</v>
      </c>
      <c r="I654" s="23">
        <v>68.82</v>
      </c>
      <c r="J654" s="23">
        <v>23.17</v>
      </c>
      <c r="K654" s="23">
        <v>480.7</v>
      </c>
    </row>
    <row r="655">
      <c r="A655" s="9"/>
      <c r="B655" s="9"/>
      <c r="G655" s="21">
        <v>45460.0</v>
      </c>
      <c r="H655" s="22">
        <v>0.20833333333333334</v>
      </c>
      <c r="I655" s="23">
        <v>68.9</v>
      </c>
      <c r="J655" s="23">
        <v>22.48</v>
      </c>
      <c r="K655" s="23">
        <v>493.03</v>
      </c>
    </row>
    <row r="656">
      <c r="A656" s="9"/>
      <c r="B656" s="9"/>
      <c r="G656" s="21">
        <v>45460.0</v>
      </c>
      <c r="H656" s="22">
        <v>0.25</v>
      </c>
      <c r="I656" s="23">
        <v>68.62</v>
      </c>
      <c r="J656" s="23">
        <v>23.43</v>
      </c>
      <c r="K656" s="23">
        <v>501.26</v>
      </c>
    </row>
    <row r="657">
      <c r="A657" s="9"/>
      <c r="B657" s="9"/>
      <c r="G657" s="21">
        <v>45460.0</v>
      </c>
      <c r="H657" s="22">
        <v>0.2916666666666667</v>
      </c>
      <c r="I657" s="23">
        <v>66.98</v>
      </c>
      <c r="J657" s="23">
        <v>25.98</v>
      </c>
      <c r="K657" s="23">
        <v>495.14</v>
      </c>
    </row>
    <row r="658">
      <c r="A658" s="9"/>
      <c r="B658" s="9"/>
      <c r="G658" s="21">
        <v>45460.0</v>
      </c>
      <c r="H658" s="22">
        <v>0.3333333333333333</v>
      </c>
      <c r="I658" s="23">
        <v>64.96</v>
      </c>
      <c r="J658" s="23">
        <v>25.75</v>
      </c>
      <c r="K658" s="23">
        <v>472.1</v>
      </c>
    </row>
    <row r="659">
      <c r="A659" s="9"/>
      <c r="B659" s="9"/>
      <c r="G659" s="21">
        <v>45460.0</v>
      </c>
      <c r="H659" s="22">
        <v>0.375</v>
      </c>
      <c r="I659" s="23">
        <v>63.26</v>
      </c>
      <c r="J659" s="23">
        <v>24.88</v>
      </c>
      <c r="K659" s="23">
        <v>457.89</v>
      </c>
    </row>
    <row r="660">
      <c r="A660" s="9"/>
      <c r="B660" s="9"/>
      <c r="G660" s="21">
        <v>45460.0</v>
      </c>
      <c r="H660" s="22">
        <v>0.4166666666666667</v>
      </c>
      <c r="I660" s="23">
        <v>61.52</v>
      </c>
      <c r="J660" s="23">
        <v>25.28</v>
      </c>
      <c r="K660" s="23">
        <v>450.88</v>
      </c>
    </row>
    <row r="661">
      <c r="A661" s="9"/>
      <c r="B661" s="9"/>
      <c r="G661" s="21">
        <v>45460.0</v>
      </c>
      <c r="H661" s="22">
        <v>0.4583333333333333</v>
      </c>
      <c r="I661" s="23">
        <v>59.45</v>
      </c>
      <c r="J661" s="23">
        <v>25.92</v>
      </c>
      <c r="K661" s="23">
        <v>446.31</v>
      </c>
    </row>
    <row r="662">
      <c r="A662" s="9"/>
      <c r="B662" s="9"/>
      <c r="G662" s="21">
        <v>45460.0</v>
      </c>
      <c r="H662" s="22">
        <v>0.5</v>
      </c>
      <c r="I662" s="23">
        <v>57.55</v>
      </c>
      <c r="J662" s="23">
        <v>26.32</v>
      </c>
      <c r="K662" s="23">
        <v>444.37</v>
      </c>
    </row>
    <row r="663">
      <c r="A663" s="9"/>
      <c r="B663" s="9"/>
      <c r="G663" s="21">
        <v>45460.0</v>
      </c>
      <c r="H663" s="22">
        <v>0.5416666666666666</v>
      </c>
      <c r="I663" s="23">
        <v>56.65</v>
      </c>
      <c r="J663" s="23">
        <v>27.45</v>
      </c>
      <c r="K663" s="23">
        <v>442.03</v>
      </c>
    </row>
    <row r="664">
      <c r="A664" s="9"/>
      <c r="B664" s="9"/>
      <c r="G664" s="21">
        <v>45460.0</v>
      </c>
      <c r="H664" s="22">
        <v>0.5833333333333334</v>
      </c>
      <c r="I664" s="23">
        <v>56.84</v>
      </c>
      <c r="J664" s="23">
        <v>27.5</v>
      </c>
      <c r="K664" s="23">
        <v>439.5</v>
      </c>
    </row>
    <row r="665">
      <c r="A665" s="9"/>
      <c r="B665" s="9"/>
      <c r="G665" s="21">
        <v>45460.0</v>
      </c>
      <c r="H665" s="22">
        <v>0.625</v>
      </c>
      <c r="I665" s="23">
        <v>57.67</v>
      </c>
      <c r="J665" s="23">
        <v>27.25</v>
      </c>
      <c r="K665" s="23">
        <v>437.68</v>
      </c>
    </row>
    <row r="666">
      <c r="A666" s="9"/>
      <c r="B666" s="9"/>
      <c r="G666" s="21">
        <v>45460.0</v>
      </c>
      <c r="H666" s="22">
        <v>0.6666666666666666</v>
      </c>
      <c r="I666" s="23">
        <v>58.99</v>
      </c>
      <c r="J666" s="23">
        <v>26.75</v>
      </c>
      <c r="K666" s="23">
        <v>435.86</v>
      </c>
    </row>
    <row r="667">
      <c r="A667" s="9"/>
      <c r="B667" s="9"/>
      <c r="G667" s="21">
        <v>45460.0</v>
      </c>
      <c r="H667" s="22">
        <v>0.7083333333333334</v>
      </c>
      <c r="I667" s="23">
        <v>60.69</v>
      </c>
      <c r="J667" s="23">
        <v>25.31</v>
      </c>
      <c r="K667" s="23">
        <v>434.2</v>
      </c>
    </row>
    <row r="668">
      <c r="A668" s="9"/>
      <c r="B668" s="9"/>
      <c r="G668" s="21">
        <v>45460.0</v>
      </c>
      <c r="H668" s="22">
        <v>0.75</v>
      </c>
      <c r="I668" s="23">
        <v>62.08</v>
      </c>
      <c r="J668" s="23">
        <v>24.49</v>
      </c>
      <c r="K668" s="23">
        <v>437.01</v>
      </c>
    </row>
    <row r="669">
      <c r="A669" s="9"/>
      <c r="B669" s="9"/>
      <c r="G669" s="21">
        <v>45460.0</v>
      </c>
      <c r="H669" s="22">
        <v>0.7916666666666666</v>
      </c>
      <c r="I669" s="23">
        <v>63.87</v>
      </c>
      <c r="J669" s="23">
        <v>23.81</v>
      </c>
      <c r="K669" s="23">
        <v>434.79</v>
      </c>
    </row>
    <row r="670">
      <c r="A670" s="9"/>
      <c r="B670" s="9"/>
      <c r="G670" s="21">
        <v>45460.0</v>
      </c>
      <c r="H670" s="22">
        <v>0.8333333333333334</v>
      </c>
      <c r="I670" s="23">
        <v>65.56</v>
      </c>
      <c r="J670" s="23">
        <v>23.92</v>
      </c>
      <c r="K670" s="23">
        <v>440.27</v>
      </c>
    </row>
    <row r="671">
      <c r="A671" s="9"/>
      <c r="B671" s="9"/>
      <c r="G671" s="21">
        <v>45460.0</v>
      </c>
      <c r="H671" s="22">
        <v>0.875</v>
      </c>
      <c r="I671" s="23">
        <v>66.44</v>
      </c>
      <c r="J671" s="23">
        <v>23.35</v>
      </c>
      <c r="K671" s="23">
        <v>443.76</v>
      </c>
    </row>
    <row r="672">
      <c r="A672" s="9"/>
      <c r="B672" s="9"/>
      <c r="G672" s="21">
        <v>45460.0</v>
      </c>
      <c r="H672" s="22">
        <v>0.9166666666666666</v>
      </c>
      <c r="I672" s="23">
        <v>66.45</v>
      </c>
      <c r="J672" s="23">
        <v>25.32</v>
      </c>
      <c r="K672" s="23">
        <v>450.8</v>
      </c>
    </row>
    <row r="673">
      <c r="A673" s="9"/>
      <c r="B673" s="9"/>
      <c r="G673" s="21">
        <v>45460.0</v>
      </c>
      <c r="H673" s="22">
        <v>0.9583333333333334</v>
      </c>
      <c r="I673" s="23">
        <v>66.32</v>
      </c>
      <c r="J673" s="23">
        <v>25.45</v>
      </c>
      <c r="K673" s="23">
        <v>455.47</v>
      </c>
    </row>
    <row r="674">
      <c r="A674" s="9"/>
      <c r="B674" s="9"/>
      <c r="G674" s="21">
        <v>45461.0</v>
      </c>
      <c r="H674" s="22">
        <v>0.0</v>
      </c>
      <c r="I674" s="23">
        <v>67.29</v>
      </c>
      <c r="J674" s="23">
        <v>25.12</v>
      </c>
      <c r="K674" s="23">
        <v>456.8</v>
      </c>
    </row>
    <row r="675">
      <c r="A675" s="9"/>
      <c r="B675" s="9"/>
      <c r="G675" s="21">
        <v>45461.0</v>
      </c>
      <c r="H675" s="22">
        <v>0.041666666666666664</v>
      </c>
      <c r="I675" s="23">
        <v>68.14</v>
      </c>
      <c r="J675" s="23">
        <v>24.78</v>
      </c>
      <c r="K675" s="23">
        <v>458.0</v>
      </c>
    </row>
    <row r="676">
      <c r="A676" s="9"/>
      <c r="B676" s="9"/>
      <c r="G676" s="21">
        <v>45461.0</v>
      </c>
      <c r="H676" s="22">
        <v>0.08333333333333333</v>
      </c>
      <c r="I676" s="23">
        <v>69.06</v>
      </c>
      <c r="J676" s="23">
        <v>24.54</v>
      </c>
      <c r="K676" s="23">
        <v>459.82</v>
      </c>
    </row>
    <row r="677">
      <c r="A677" s="9"/>
      <c r="B677" s="9"/>
      <c r="G677" s="21">
        <v>45461.0</v>
      </c>
      <c r="H677" s="22">
        <v>0.125</v>
      </c>
      <c r="I677" s="23">
        <v>69.68</v>
      </c>
      <c r="J677" s="23">
        <v>24.22</v>
      </c>
      <c r="K677" s="23">
        <v>463.11</v>
      </c>
    </row>
    <row r="678">
      <c r="A678" s="9"/>
      <c r="B678" s="9"/>
      <c r="G678" s="21">
        <v>45461.0</v>
      </c>
      <c r="H678" s="22">
        <v>0.16666666666666666</v>
      </c>
      <c r="I678" s="23">
        <v>70.27</v>
      </c>
      <c r="J678" s="23">
        <v>24.09</v>
      </c>
      <c r="K678" s="23">
        <v>466.3</v>
      </c>
    </row>
    <row r="679">
      <c r="A679" s="9"/>
      <c r="B679" s="9"/>
      <c r="G679" s="21">
        <v>45461.0</v>
      </c>
      <c r="H679" s="22">
        <v>0.20833333333333334</v>
      </c>
      <c r="I679" s="23">
        <v>70.47</v>
      </c>
      <c r="J679" s="23">
        <v>24.39</v>
      </c>
      <c r="K679" s="23">
        <v>471.56</v>
      </c>
    </row>
    <row r="680">
      <c r="A680" s="9"/>
      <c r="B680" s="9"/>
      <c r="G680" s="21">
        <v>45461.0</v>
      </c>
      <c r="H680" s="22">
        <v>0.25</v>
      </c>
      <c r="I680" s="23">
        <v>71.03</v>
      </c>
      <c r="J680" s="23">
        <v>24.93</v>
      </c>
      <c r="K680" s="23">
        <v>466.29</v>
      </c>
    </row>
    <row r="681">
      <c r="A681" s="9"/>
      <c r="B681" s="9"/>
      <c r="G681" s="21">
        <v>45461.0</v>
      </c>
      <c r="H681" s="22">
        <v>0.2916666666666667</v>
      </c>
      <c r="I681" s="23">
        <v>70.3</v>
      </c>
      <c r="J681" s="23">
        <v>25.39</v>
      </c>
      <c r="K681" s="23">
        <v>468.55</v>
      </c>
    </row>
    <row r="682">
      <c r="A682" s="9"/>
      <c r="B682" s="9"/>
      <c r="G682" s="21">
        <v>45461.0</v>
      </c>
      <c r="H682" s="22">
        <v>0.3333333333333333</v>
      </c>
      <c r="I682" s="23">
        <v>68.89</v>
      </c>
      <c r="J682" s="23">
        <v>25.57</v>
      </c>
      <c r="K682" s="23">
        <v>463.4</v>
      </c>
    </row>
    <row r="683">
      <c r="A683" s="9"/>
      <c r="B683" s="9"/>
      <c r="G683" s="21">
        <v>45461.0</v>
      </c>
      <c r="H683" s="22">
        <v>0.375</v>
      </c>
      <c r="I683" s="23">
        <v>66.93</v>
      </c>
      <c r="J683" s="23">
        <v>25.94</v>
      </c>
      <c r="K683" s="23">
        <v>458.46</v>
      </c>
    </row>
    <row r="684">
      <c r="A684" s="9"/>
      <c r="B684" s="9"/>
      <c r="G684" s="21">
        <v>45461.0</v>
      </c>
      <c r="H684" s="22">
        <v>0.4166666666666667</v>
      </c>
      <c r="I684" s="23">
        <v>64.8</v>
      </c>
      <c r="J684" s="23">
        <v>26.89</v>
      </c>
      <c r="K684" s="23">
        <v>454.87</v>
      </c>
    </row>
    <row r="685">
      <c r="A685" s="9"/>
      <c r="B685" s="9"/>
      <c r="G685" s="21">
        <v>45461.0</v>
      </c>
      <c r="H685" s="22">
        <v>0.4583333333333333</v>
      </c>
      <c r="I685" s="23">
        <v>62.31</v>
      </c>
      <c r="J685" s="23">
        <v>27.82</v>
      </c>
      <c r="K685" s="23">
        <v>455.63</v>
      </c>
    </row>
    <row r="686">
      <c r="A686" s="9"/>
      <c r="B686" s="9"/>
      <c r="G686" s="21">
        <v>45461.0</v>
      </c>
      <c r="H686" s="22">
        <v>0.5</v>
      </c>
      <c r="I686" s="23">
        <v>60.72</v>
      </c>
      <c r="J686" s="23">
        <v>28.35</v>
      </c>
      <c r="K686" s="23">
        <v>451.15</v>
      </c>
    </row>
    <row r="687">
      <c r="A687" s="9"/>
      <c r="B687" s="9"/>
      <c r="G687" s="21">
        <v>45461.0</v>
      </c>
      <c r="H687" s="22">
        <v>0.5416666666666666</v>
      </c>
      <c r="I687" s="23">
        <v>59.78</v>
      </c>
      <c r="J687" s="23">
        <v>28.48</v>
      </c>
      <c r="K687" s="23">
        <v>448.82</v>
      </c>
    </row>
    <row r="688">
      <c r="A688" s="9"/>
      <c r="B688" s="9"/>
      <c r="G688" s="21">
        <v>45461.0</v>
      </c>
      <c r="H688" s="22">
        <v>0.5833333333333334</v>
      </c>
      <c r="I688" s="23">
        <v>59.54</v>
      </c>
      <c r="J688" s="23">
        <v>28.11</v>
      </c>
      <c r="K688" s="23">
        <v>442.94</v>
      </c>
    </row>
    <row r="689">
      <c r="A689" s="9"/>
      <c r="B689" s="9"/>
      <c r="G689" s="21">
        <v>45461.0</v>
      </c>
      <c r="H689" s="22">
        <v>0.625</v>
      </c>
      <c r="I689" s="23">
        <v>60.03</v>
      </c>
      <c r="J689" s="23">
        <v>27.23</v>
      </c>
      <c r="K689" s="23">
        <v>437.62</v>
      </c>
    </row>
    <row r="690">
      <c r="A690" s="9"/>
      <c r="B690" s="9"/>
      <c r="G690" s="21">
        <v>45461.0</v>
      </c>
      <c r="H690" s="22">
        <v>0.6666666666666666</v>
      </c>
      <c r="I690" s="23">
        <v>60.61</v>
      </c>
      <c r="J690" s="23">
        <v>26.49</v>
      </c>
      <c r="K690" s="23">
        <v>437.46</v>
      </c>
    </row>
    <row r="691">
      <c r="A691" s="9"/>
      <c r="B691" s="9"/>
      <c r="G691" s="21">
        <v>45461.0</v>
      </c>
      <c r="H691" s="22">
        <v>0.7083333333333334</v>
      </c>
      <c r="I691" s="23">
        <v>62.02</v>
      </c>
      <c r="J691" s="23">
        <v>25.65</v>
      </c>
      <c r="K691" s="23">
        <v>433.75</v>
      </c>
    </row>
    <row r="692">
      <c r="A692" s="9"/>
      <c r="B692" s="9"/>
      <c r="G692" s="21">
        <v>45461.0</v>
      </c>
      <c r="H692" s="22">
        <v>0.75</v>
      </c>
      <c r="I692" s="23">
        <v>63.7</v>
      </c>
      <c r="J692" s="23">
        <v>23.86</v>
      </c>
      <c r="K692" s="23">
        <v>431.41</v>
      </c>
    </row>
    <row r="693">
      <c r="A693" s="9"/>
      <c r="B693" s="9"/>
      <c r="G693" s="21">
        <v>45461.0</v>
      </c>
      <c r="H693" s="22">
        <v>0.7916666666666666</v>
      </c>
      <c r="I693" s="23">
        <v>65.29</v>
      </c>
      <c r="J693" s="23">
        <v>24.13</v>
      </c>
      <c r="K693" s="23">
        <v>438.91</v>
      </c>
    </row>
    <row r="694">
      <c r="A694" s="9"/>
      <c r="B694" s="9"/>
      <c r="G694" s="21">
        <v>45461.0</v>
      </c>
      <c r="H694" s="22">
        <v>0.8333333333333334</v>
      </c>
      <c r="I694" s="23">
        <v>66.82</v>
      </c>
      <c r="J694" s="23">
        <v>23.2</v>
      </c>
      <c r="K694" s="23">
        <v>439.35</v>
      </c>
    </row>
    <row r="695">
      <c r="A695" s="9"/>
      <c r="B695" s="9"/>
      <c r="G695" s="21">
        <v>45461.0</v>
      </c>
      <c r="H695" s="22">
        <v>0.875</v>
      </c>
      <c r="I695" s="23">
        <v>67.09</v>
      </c>
      <c r="J695" s="23">
        <v>24.89</v>
      </c>
      <c r="K695" s="23">
        <v>447.26</v>
      </c>
    </row>
    <row r="696">
      <c r="A696" s="9"/>
      <c r="B696" s="9"/>
      <c r="G696" s="21">
        <v>45461.0</v>
      </c>
      <c r="H696" s="22">
        <v>0.9166666666666666</v>
      </c>
      <c r="I696" s="23">
        <v>67.13</v>
      </c>
      <c r="J696" s="23">
        <v>25.49</v>
      </c>
      <c r="K696" s="23">
        <v>451.42</v>
      </c>
    </row>
    <row r="697">
      <c r="A697" s="9"/>
      <c r="B697" s="9"/>
      <c r="G697" s="21">
        <v>45461.0</v>
      </c>
      <c r="H697" s="22">
        <v>0.9583333333333334</v>
      </c>
      <c r="I697" s="23">
        <v>67.84</v>
      </c>
      <c r="J697" s="23">
        <v>25.05</v>
      </c>
      <c r="K697" s="23">
        <v>456.05</v>
      </c>
    </row>
    <row r="698">
      <c r="A698" s="9"/>
      <c r="B698" s="9"/>
      <c r="G698" s="21">
        <v>45462.0</v>
      </c>
      <c r="H698" s="22">
        <v>0.0</v>
      </c>
      <c r="I698" s="23">
        <v>68.82</v>
      </c>
      <c r="J698" s="23">
        <v>24.55</v>
      </c>
      <c r="K698" s="23">
        <v>457.36</v>
      </c>
    </row>
    <row r="699">
      <c r="A699" s="9"/>
      <c r="B699" s="9"/>
      <c r="G699" s="21">
        <v>45462.0</v>
      </c>
      <c r="H699" s="22">
        <v>0.041666666666666664</v>
      </c>
      <c r="I699" s="23">
        <v>69.72</v>
      </c>
      <c r="J699" s="23">
        <v>24.16</v>
      </c>
      <c r="K699" s="23">
        <v>461.04</v>
      </c>
    </row>
    <row r="700">
      <c r="A700" s="9"/>
      <c r="B700" s="9"/>
      <c r="G700" s="21">
        <v>45462.0</v>
      </c>
      <c r="H700" s="22">
        <v>0.08333333333333333</v>
      </c>
      <c r="I700" s="23">
        <v>69.84</v>
      </c>
      <c r="J700" s="23">
        <v>23.95</v>
      </c>
      <c r="K700" s="23">
        <v>470.28</v>
      </c>
    </row>
    <row r="701">
      <c r="A701" s="9"/>
      <c r="B701" s="9"/>
      <c r="G701" s="21">
        <v>45462.0</v>
      </c>
      <c r="H701" s="22">
        <v>0.125</v>
      </c>
      <c r="I701" s="23">
        <v>70.3</v>
      </c>
      <c r="J701" s="23">
        <v>23.59</v>
      </c>
      <c r="K701" s="23">
        <v>472.06</v>
      </c>
    </row>
    <row r="702">
      <c r="A702" s="9"/>
      <c r="B702" s="9"/>
      <c r="G702" s="21">
        <v>45462.0</v>
      </c>
      <c r="H702" s="22">
        <v>0.16666666666666666</v>
      </c>
      <c r="I702" s="23">
        <v>70.95</v>
      </c>
      <c r="J702" s="23">
        <v>23.16</v>
      </c>
      <c r="K702" s="23">
        <v>475.31</v>
      </c>
    </row>
    <row r="703">
      <c r="A703" s="9"/>
      <c r="B703" s="9"/>
      <c r="G703" s="21">
        <v>45462.0</v>
      </c>
      <c r="H703" s="22">
        <v>0.20833333333333334</v>
      </c>
      <c r="I703" s="23">
        <v>70.59</v>
      </c>
      <c r="J703" s="23">
        <v>22.7</v>
      </c>
      <c r="K703" s="23">
        <v>485.46</v>
      </c>
    </row>
    <row r="704">
      <c r="A704" s="9"/>
      <c r="B704" s="9"/>
      <c r="G704" s="21">
        <v>45462.0</v>
      </c>
      <c r="H704" s="22">
        <v>0.25</v>
      </c>
      <c r="I704" s="23">
        <v>70.53</v>
      </c>
      <c r="J704" s="23">
        <v>23.65</v>
      </c>
      <c r="K704" s="23">
        <v>492.64</v>
      </c>
    </row>
    <row r="705">
      <c r="A705" s="9"/>
      <c r="B705" s="9"/>
      <c r="G705" s="21">
        <v>45462.0</v>
      </c>
      <c r="H705" s="22">
        <v>0.2916666666666667</v>
      </c>
      <c r="I705" s="23">
        <v>70.16</v>
      </c>
      <c r="J705" s="23">
        <v>25.02</v>
      </c>
      <c r="K705" s="23">
        <v>487.8</v>
      </c>
    </row>
    <row r="706">
      <c r="A706" s="9"/>
      <c r="B706" s="9"/>
      <c r="G706" s="21">
        <v>45462.0</v>
      </c>
      <c r="H706" s="22">
        <v>0.3333333333333333</v>
      </c>
      <c r="I706" s="23">
        <v>69.76</v>
      </c>
      <c r="J706" s="23">
        <v>24.62</v>
      </c>
      <c r="K706" s="23">
        <v>468.98</v>
      </c>
    </row>
    <row r="707">
      <c r="A707" s="9"/>
      <c r="B707" s="9"/>
      <c r="G707" s="21">
        <v>45462.0</v>
      </c>
      <c r="H707" s="22">
        <v>0.375</v>
      </c>
      <c r="I707" s="23">
        <v>67.89</v>
      </c>
      <c r="J707" s="23">
        <v>26.12</v>
      </c>
      <c r="K707" s="23">
        <v>464.43</v>
      </c>
    </row>
    <row r="708">
      <c r="A708" s="9"/>
      <c r="B708" s="9"/>
      <c r="G708" s="21">
        <v>45462.0</v>
      </c>
      <c r="H708" s="22">
        <v>0.4166666666666667</v>
      </c>
      <c r="I708" s="23">
        <v>65.14</v>
      </c>
      <c r="J708" s="23">
        <v>27.4</v>
      </c>
      <c r="K708" s="23">
        <v>462.45</v>
      </c>
    </row>
    <row r="709">
      <c r="A709" s="9"/>
      <c r="B709" s="9"/>
      <c r="G709" s="21">
        <v>45462.0</v>
      </c>
      <c r="H709" s="22">
        <v>0.4583333333333333</v>
      </c>
      <c r="I709" s="23">
        <v>62.83</v>
      </c>
      <c r="J709" s="23">
        <v>28.12</v>
      </c>
      <c r="K709" s="23">
        <v>459.73</v>
      </c>
    </row>
    <row r="710">
      <c r="A710" s="9"/>
      <c r="B710" s="9"/>
      <c r="G710" s="21">
        <v>45462.0</v>
      </c>
      <c r="H710" s="22">
        <v>0.5</v>
      </c>
      <c r="I710" s="23">
        <v>61.44</v>
      </c>
      <c r="J710" s="23">
        <v>28.91</v>
      </c>
      <c r="K710" s="23">
        <v>458.01</v>
      </c>
    </row>
    <row r="711">
      <c r="A711" s="9"/>
      <c r="B711" s="9"/>
      <c r="G711" s="21">
        <v>45462.0</v>
      </c>
      <c r="H711" s="22">
        <v>0.5416666666666666</v>
      </c>
      <c r="I711" s="23">
        <v>60.36</v>
      </c>
      <c r="J711" s="23">
        <v>29.19</v>
      </c>
      <c r="K711" s="23">
        <v>456.54</v>
      </c>
    </row>
    <row r="712">
      <c r="A712" s="9"/>
      <c r="B712" s="9"/>
      <c r="G712" s="21">
        <v>45462.0</v>
      </c>
      <c r="H712" s="22">
        <v>0.5833333333333334</v>
      </c>
      <c r="I712" s="23">
        <v>59.81</v>
      </c>
      <c r="J712" s="23">
        <v>28.34</v>
      </c>
      <c r="K712" s="23">
        <v>451.17</v>
      </c>
    </row>
    <row r="713">
      <c r="A713" s="9"/>
      <c r="B713" s="9"/>
      <c r="G713" s="21">
        <v>45462.0</v>
      </c>
      <c r="H713" s="22">
        <v>0.625</v>
      </c>
      <c r="I713" s="23">
        <v>60.62</v>
      </c>
      <c r="J713" s="23">
        <v>27.27</v>
      </c>
      <c r="K713" s="23">
        <v>439.16</v>
      </c>
    </row>
    <row r="714">
      <c r="A714" s="9"/>
      <c r="B714" s="9"/>
      <c r="G714" s="21">
        <v>45462.0</v>
      </c>
      <c r="H714" s="22">
        <v>0.6666666666666666</v>
      </c>
      <c r="I714" s="23">
        <v>61.27</v>
      </c>
      <c r="J714" s="23">
        <v>26.23</v>
      </c>
      <c r="K714" s="23">
        <v>433.71</v>
      </c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  <c r="G723" s="27"/>
      <c r="H723" s="27"/>
      <c r="I723" s="28"/>
      <c r="J723" s="28"/>
      <c r="K723" s="28"/>
    </row>
    <row r="724">
      <c r="A724" s="9"/>
      <c r="B724" s="9"/>
      <c r="G724" s="27"/>
      <c r="H724" s="27"/>
      <c r="I724" s="28"/>
      <c r="J724" s="28"/>
      <c r="K724" s="28"/>
    </row>
    <row r="725">
      <c r="A725" s="9"/>
      <c r="B725" s="9"/>
      <c r="G725" s="27"/>
      <c r="H725" s="27"/>
      <c r="I725" s="28"/>
      <c r="J725" s="28"/>
      <c r="K725" s="28"/>
    </row>
    <row r="726">
      <c r="A726" s="9"/>
      <c r="B726" s="9"/>
      <c r="G726" s="27"/>
      <c r="H726" s="27"/>
      <c r="I726" s="28"/>
      <c r="J726" s="28"/>
      <c r="K726" s="28"/>
    </row>
    <row r="727">
      <c r="A727" s="9"/>
      <c r="B727" s="9"/>
      <c r="G727" s="27"/>
      <c r="H727" s="27"/>
      <c r="I727" s="28"/>
      <c r="J727" s="28"/>
      <c r="K727" s="28"/>
    </row>
    <row r="728">
      <c r="A728" s="9"/>
      <c r="B728" s="9"/>
      <c r="G728" s="27"/>
      <c r="H728" s="27"/>
      <c r="I728" s="28"/>
      <c r="J728" s="28"/>
      <c r="K728" s="28"/>
    </row>
    <row r="729">
      <c r="A729" s="9"/>
      <c r="B729" s="9"/>
      <c r="G729" s="27"/>
      <c r="H729" s="27"/>
      <c r="I729" s="28"/>
      <c r="J729" s="28"/>
      <c r="K729" s="28"/>
    </row>
    <row r="730">
      <c r="A730" s="9"/>
      <c r="B730" s="9"/>
      <c r="G730" s="27"/>
      <c r="H730" s="27"/>
      <c r="I730" s="28"/>
      <c r="J730" s="28"/>
      <c r="K730" s="28"/>
    </row>
    <row r="731">
      <c r="A731" s="9"/>
      <c r="B731" s="9"/>
      <c r="G731" s="27"/>
      <c r="H731" s="27"/>
      <c r="I731" s="28"/>
      <c r="J731" s="28"/>
      <c r="K731" s="28"/>
    </row>
    <row r="732">
      <c r="A732" s="9"/>
      <c r="B732" s="9"/>
      <c r="G732" s="27"/>
      <c r="H732" s="27"/>
      <c r="I732" s="28"/>
      <c r="J732" s="28"/>
      <c r="K732" s="28"/>
    </row>
    <row r="733">
      <c r="A733" s="9"/>
      <c r="B733" s="9"/>
      <c r="G733" s="27"/>
      <c r="H733" s="27"/>
      <c r="I733" s="28"/>
      <c r="J733" s="28"/>
      <c r="K733" s="28"/>
    </row>
    <row r="734">
      <c r="A734" s="9"/>
      <c r="B734" s="9"/>
      <c r="G734" s="27"/>
      <c r="H734" s="27"/>
      <c r="I734" s="28"/>
      <c r="J734" s="28"/>
      <c r="K734" s="28"/>
    </row>
    <row r="735">
      <c r="A735" s="9"/>
      <c r="B735" s="9"/>
      <c r="G735" s="27"/>
      <c r="H735" s="27"/>
      <c r="I735" s="28"/>
      <c r="J735" s="28"/>
      <c r="K735" s="28"/>
    </row>
    <row r="736">
      <c r="A736" s="9"/>
      <c r="B736" s="9"/>
      <c r="G736" s="27"/>
      <c r="H736" s="27"/>
      <c r="I736" s="28"/>
      <c r="J736" s="28"/>
      <c r="K736" s="28"/>
    </row>
    <row r="737">
      <c r="A737" s="9"/>
      <c r="B737" s="9"/>
      <c r="G737" s="27"/>
      <c r="H737" s="27"/>
      <c r="I737" s="28"/>
      <c r="J737" s="28"/>
      <c r="K737" s="28"/>
    </row>
    <row r="738">
      <c r="A738" s="9"/>
      <c r="B738" s="9"/>
      <c r="G738" s="27"/>
      <c r="H738" s="27"/>
      <c r="I738" s="28"/>
      <c r="J738" s="28"/>
      <c r="K738" s="28"/>
    </row>
    <row r="739">
      <c r="A739" s="9"/>
      <c r="B739" s="9"/>
      <c r="G739" s="27"/>
      <c r="H739" s="27"/>
      <c r="I739" s="28"/>
      <c r="J739" s="28"/>
      <c r="K739" s="28"/>
    </row>
    <row r="740">
      <c r="A740" s="9"/>
      <c r="B740" s="9"/>
      <c r="G740" s="27"/>
      <c r="H740" s="27"/>
      <c r="I740" s="28"/>
      <c r="J740" s="28"/>
      <c r="K740" s="28"/>
    </row>
    <row r="741">
      <c r="A741" s="9"/>
      <c r="B741" s="9"/>
      <c r="G741" s="27"/>
      <c r="H741" s="27"/>
      <c r="I741" s="28"/>
      <c r="J741" s="28"/>
      <c r="K741" s="28"/>
    </row>
    <row r="742">
      <c r="A742" s="9"/>
      <c r="B742" s="9"/>
      <c r="G742" s="27"/>
      <c r="H742" s="27"/>
      <c r="I742" s="28"/>
      <c r="J742" s="28"/>
      <c r="K742" s="28"/>
    </row>
    <row r="743">
      <c r="A743" s="9"/>
      <c r="B743" s="9"/>
      <c r="G743" s="27"/>
      <c r="H743" s="27"/>
      <c r="I743" s="28"/>
      <c r="J743" s="28"/>
      <c r="K743" s="28"/>
    </row>
    <row r="744">
      <c r="A744" s="9"/>
      <c r="B744" s="9"/>
      <c r="G744" s="27"/>
      <c r="H744" s="27"/>
      <c r="I744" s="28"/>
      <c r="J744" s="28"/>
      <c r="K744" s="28"/>
    </row>
    <row r="745">
      <c r="A745" s="9"/>
      <c r="B745" s="9"/>
      <c r="G745" s="27"/>
      <c r="H745" s="27"/>
      <c r="I745" s="28"/>
      <c r="J745" s="28"/>
      <c r="K745" s="28"/>
    </row>
    <row r="746">
      <c r="A746" s="9"/>
      <c r="B746" s="9"/>
      <c r="G746" s="27"/>
      <c r="H746" s="27"/>
      <c r="I746" s="28"/>
      <c r="J746" s="28"/>
      <c r="K746" s="28"/>
    </row>
    <row r="747">
      <c r="A747" s="9"/>
      <c r="B747" s="9"/>
      <c r="G747" s="27"/>
      <c r="H747" s="27"/>
      <c r="I747" s="28"/>
      <c r="J747" s="28"/>
      <c r="K747" s="28"/>
    </row>
    <row r="748">
      <c r="A748" s="9"/>
      <c r="B748" s="9"/>
      <c r="G748" s="27"/>
      <c r="H748" s="27"/>
      <c r="I748" s="28"/>
      <c r="J748" s="28"/>
      <c r="K748" s="28"/>
    </row>
    <row r="749">
      <c r="A749" s="9"/>
      <c r="B749" s="9"/>
      <c r="G749" s="27"/>
      <c r="H749" s="27"/>
      <c r="I749" s="28"/>
      <c r="J749" s="28"/>
      <c r="K749" s="28"/>
    </row>
    <row r="750">
      <c r="A750" s="9"/>
      <c r="B750" s="9"/>
      <c r="G750" s="27"/>
      <c r="H750" s="27"/>
      <c r="I750" s="28"/>
      <c r="J750" s="28"/>
      <c r="K750" s="28"/>
    </row>
    <row r="751">
      <c r="A751" s="9"/>
      <c r="B751" s="9"/>
      <c r="G751" s="26"/>
      <c r="H751" s="26"/>
    </row>
    <row r="752">
      <c r="A752" s="9"/>
      <c r="B752" s="9"/>
      <c r="G752" s="26"/>
      <c r="H752" s="26"/>
    </row>
    <row r="753">
      <c r="A753" s="9"/>
      <c r="B753" s="9"/>
      <c r="G753" s="26"/>
      <c r="H753" s="26"/>
    </row>
    <row r="754">
      <c r="A754" s="9"/>
      <c r="B754" s="9"/>
      <c r="G754" s="26"/>
      <c r="H754" s="26"/>
    </row>
    <row r="755">
      <c r="A755" s="9"/>
      <c r="B755" s="9"/>
      <c r="G755" s="26"/>
      <c r="H755" s="26"/>
    </row>
    <row r="756">
      <c r="A756" s="9"/>
      <c r="B756" s="9"/>
      <c r="G756" s="26"/>
      <c r="H756" s="26"/>
    </row>
    <row r="757">
      <c r="A757" s="9"/>
      <c r="B757" s="9"/>
      <c r="G757" s="26"/>
      <c r="H757" s="26"/>
    </row>
    <row r="758">
      <c r="A758" s="9"/>
      <c r="B758" s="9"/>
      <c r="G758" s="26"/>
      <c r="H758" s="26"/>
    </row>
    <row r="759">
      <c r="A759" s="9"/>
      <c r="B759" s="9"/>
      <c r="G759" s="26"/>
      <c r="H759" s="26"/>
    </row>
    <row r="760">
      <c r="A760" s="9"/>
      <c r="B760" s="9"/>
      <c r="G760" s="26"/>
      <c r="H760" s="26"/>
    </row>
    <row r="761">
      <c r="A761" s="9"/>
      <c r="B761" s="9"/>
      <c r="G761" s="26"/>
      <c r="H761" s="26"/>
    </row>
    <row r="762">
      <c r="A762" s="9"/>
      <c r="B762" s="9"/>
      <c r="G762" s="26"/>
      <c r="H762" s="26"/>
    </row>
    <row r="763">
      <c r="A763" s="9"/>
      <c r="B763" s="9"/>
      <c r="G763" s="26"/>
      <c r="H763" s="26"/>
    </row>
    <row r="764">
      <c r="A764" s="9"/>
      <c r="B764" s="9"/>
      <c r="G764" s="26"/>
      <c r="H764" s="26"/>
    </row>
    <row r="765">
      <c r="A765" s="9"/>
      <c r="B765" s="9"/>
      <c r="G765" s="26"/>
      <c r="H765" s="26"/>
    </row>
    <row r="766">
      <c r="A766" s="9"/>
      <c r="B766" s="9"/>
      <c r="G766" s="26"/>
      <c r="H766" s="26"/>
    </row>
    <row r="767">
      <c r="A767" s="9"/>
      <c r="B767" s="9"/>
      <c r="G767" s="26"/>
      <c r="H767" s="26"/>
    </row>
    <row r="768">
      <c r="A768" s="9"/>
      <c r="B768" s="9"/>
      <c r="G768" s="26"/>
      <c r="H768" s="26"/>
    </row>
    <row r="769">
      <c r="A769" s="9"/>
      <c r="B769" s="9"/>
      <c r="G769" s="26"/>
      <c r="H769" s="26"/>
    </row>
    <row r="770">
      <c r="A770" s="9"/>
      <c r="B770" s="9"/>
      <c r="G770" s="26"/>
      <c r="H770" s="26"/>
    </row>
    <row r="771">
      <c r="A771" s="9"/>
      <c r="B771" s="9"/>
      <c r="G771" s="26"/>
      <c r="H771" s="26"/>
    </row>
    <row r="772">
      <c r="A772" s="9"/>
      <c r="B772" s="9"/>
      <c r="G772" s="26"/>
      <c r="H772" s="26"/>
    </row>
    <row r="773">
      <c r="A773" s="9"/>
      <c r="B773" s="9"/>
      <c r="G773" s="26"/>
      <c r="H773" s="26"/>
    </row>
    <row r="774">
      <c r="A774" s="9"/>
      <c r="B774" s="9"/>
      <c r="G774" s="26"/>
      <c r="H774" s="26"/>
    </row>
    <row r="775">
      <c r="A775" s="9"/>
      <c r="B775" s="9"/>
      <c r="G775" s="26"/>
      <c r="H775" s="26"/>
    </row>
    <row r="776">
      <c r="A776" s="9"/>
      <c r="B776" s="9"/>
      <c r="G776" s="26"/>
      <c r="H776" s="26"/>
    </row>
    <row r="777">
      <c r="A777" s="9"/>
      <c r="B777" s="9"/>
      <c r="G777" s="26"/>
      <c r="H777" s="26"/>
    </row>
    <row r="778">
      <c r="A778" s="9"/>
      <c r="B778" s="9"/>
      <c r="G778" s="26"/>
      <c r="H778" s="26"/>
    </row>
    <row r="779">
      <c r="A779" s="9"/>
      <c r="B779" s="9"/>
      <c r="G779" s="26"/>
      <c r="H779" s="26"/>
    </row>
    <row r="780">
      <c r="A780" s="9"/>
      <c r="B780" s="9"/>
      <c r="G780" s="26"/>
      <c r="H780" s="26"/>
    </row>
    <row r="781">
      <c r="A781" s="9"/>
      <c r="B781" s="9"/>
      <c r="G781" s="26"/>
      <c r="H781" s="26"/>
    </row>
    <row r="782">
      <c r="A782" s="9"/>
      <c r="B782" s="9"/>
      <c r="G782" s="26"/>
      <c r="H782" s="26"/>
    </row>
    <row r="783">
      <c r="A783" s="9"/>
      <c r="B783" s="9"/>
      <c r="G783" s="26"/>
      <c r="H783" s="26"/>
    </row>
    <row r="784">
      <c r="A784" s="9"/>
      <c r="B784" s="9"/>
      <c r="G784" s="26"/>
      <c r="H784" s="26"/>
    </row>
    <row r="785">
      <c r="A785" s="9"/>
      <c r="B785" s="9"/>
      <c r="G785" s="26"/>
      <c r="H785" s="26"/>
    </row>
    <row r="786">
      <c r="A786" s="9"/>
      <c r="B786" s="9"/>
      <c r="G786" s="26"/>
      <c r="H786" s="26"/>
    </row>
    <row r="787">
      <c r="A787" s="9"/>
      <c r="B787" s="9"/>
      <c r="G787" s="26"/>
      <c r="H787" s="26"/>
    </row>
    <row r="788">
      <c r="A788" s="9"/>
      <c r="B788" s="9"/>
      <c r="G788" s="26"/>
      <c r="H788" s="26"/>
    </row>
    <row r="789">
      <c r="A789" s="9"/>
      <c r="B789" s="9"/>
      <c r="G789" s="26"/>
      <c r="H789" s="26"/>
    </row>
    <row r="790">
      <c r="A790" s="9"/>
      <c r="B790" s="9"/>
      <c r="G790" s="26"/>
      <c r="H790" s="26"/>
    </row>
    <row r="791">
      <c r="A791" s="9"/>
      <c r="B791" s="9"/>
      <c r="G791" s="26"/>
      <c r="H791" s="26"/>
    </row>
    <row r="792">
      <c r="A792" s="9"/>
      <c r="B792" s="9"/>
      <c r="G792" s="26"/>
      <c r="H792" s="26"/>
    </row>
    <row r="793">
      <c r="A793" s="9"/>
      <c r="B793" s="9"/>
      <c r="G793" s="26"/>
      <c r="H793" s="26"/>
    </row>
    <row r="794">
      <c r="A794" s="9"/>
      <c r="B794" s="9"/>
      <c r="G794" s="26"/>
      <c r="H794" s="26"/>
    </row>
    <row r="795">
      <c r="A795" s="9"/>
      <c r="B795" s="9"/>
      <c r="G795" s="26"/>
      <c r="H795" s="26"/>
    </row>
    <row r="796">
      <c r="A796" s="9"/>
      <c r="B796" s="9"/>
      <c r="G796" s="26"/>
      <c r="H796" s="26"/>
    </row>
    <row r="797">
      <c r="A797" s="9"/>
      <c r="B797" s="9"/>
      <c r="G797" s="26"/>
      <c r="H797" s="26"/>
    </row>
    <row r="798">
      <c r="A798" s="9"/>
      <c r="B798" s="9"/>
      <c r="G798" s="26"/>
      <c r="H798" s="26"/>
    </row>
    <row r="799">
      <c r="A799" s="9"/>
      <c r="B799" s="9"/>
      <c r="G799" s="26"/>
      <c r="H799" s="26"/>
    </row>
    <row r="800">
      <c r="A800" s="9"/>
      <c r="B800" s="9"/>
      <c r="G800" s="26"/>
      <c r="H800" s="26"/>
    </row>
    <row r="801">
      <c r="A801" s="9"/>
      <c r="B801" s="9"/>
      <c r="G801" s="26"/>
      <c r="H801" s="26"/>
    </row>
    <row r="802">
      <c r="A802" s="9"/>
      <c r="B802" s="9"/>
      <c r="G802" s="26"/>
      <c r="H802" s="26"/>
    </row>
    <row r="803">
      <c r="A803" s="9"/>
      <c r="B803" s="9"/>
      <c r="G803" s="26"/>
      <c r="H803" s="26"/>
    </row>
    <row r="804">
      <c r="A804" s="9"/>
      <c r="B804" s="9"/>
      <c r="G804" s="26"/>
      <c r="H804" s="26"/>
    </row>
    <row r="805">
      <c r="A805" s="9"/>
      <c r="B805" s="9"/>
      <c r="G805" s="26"/>
      <c r="H805" s="26"/>
    </row>
    <row r="806">
      <c r="A806" s="9"/>
      <c r="B806" s="9"/>
      <c r="G806" s="26"/>
      <c r="H806" s="26"/>
    </row>
    <row r="807">
      <c r="A807" s="9"/>
      <c r="B807" s="9"/>
      <c r="G807" s="26"/>
      <c r="H807" s="26"/>
    </row>
    <row r="808">
      <c r="A808" s="9"/>
      <c r="B808" s="9"/>
      <c r="G808" s="26"/>
      <c r="H808" s="26"/>
    </row>
    <row r="809">
      <c r="A809" s="9"/>
      <c r="B809" s="9"/>
      <c r="G809" s="26"/>
      <c r="H809" s="26"/>
    </row>
    <row r="810">
      <c r="A810" s="9"/>
      <c r="B810" s="9"/>
      <c r="G810" s="26"/>
      <c r="H810" s="26"/>
    </row>
    <row r="811">
      <c r="A811" s="9"/>
      <c r="B811" s="9"/>
      <c r="G811" s="26"/>
      <c r="H811" s="26"/>
    </row>
    <row r="812">
      <c r="A812" s="9"/>
      <c r="B812" s="9"/>
      <c r="G812" s="26"/>
      <c r="H812" s="26"/>
    </row>
    <row r="813">
      <c r="A813" s="9"/>
      <c r="B813" s="9"/>
      <c r="G813" s="26"/>
      <c r="H813" s="26"/>
    </row>
    <row r="814">
      <c r="A814" s="9"/>
      <c r="B814" s="9"/>
      <c r="G814" s="26"/>
      <c r="H814" s="26"/>
    </row>
    <row r="815">
      <c r="A815" s="9"/>
      <c r="B815" s="9"/>
      <c r="G815" s="26"/>
      <c r="H815" s="26"/>
    </row>
    <row r="816">
      <c r="A816" s="9"/>
      <c r="B816" s="9"/>
      <c r="G816" s="26"/>
      <c r="H816" s="26"/>
    </row>
    <row r="817">
      <c r="A817" s="9"/>
      <c r="B817" s="9"/>
      <c r="G817" s="26"/>
      <c r="H817" s="26"/>
    </row>
    <row r="818">
      <c r="A818" s="9"/>
      <c r="B818" s="9"/>
      <c r="G818" s="26"/>
      <c r="H818" s="26"/>
    </row>
    <row r="819">
      <c r="A819" s="9"/>
      <c r="B819" s="9"/>
      <c r="G819" s="26"/>
      <c r="H819" s="26"/>
    </row>
    <row r="820">
      <c r="A820" s="9"/>
      <c r="B820" s="9"/>
      <c r="G820" s="26"/>
      <c r="H820" s="26"/>
    </row>
    <row r="821">
      <c r="A821" s="9"/>
      <c r="B821" s="9"/>
      <c r="G821" s="26"/>
      <c r="H821" s="26"/>
    </row>
    <row r="822">
      <c r="A822" s="9"/>
      <c r="B822" s="9"/>
      <c r="G822" s="26"/>
      <c r="H822" s="26"/>
    </row>
    <row r="823">
      <c r="A823" s="9"/>
      <c r="B823" s="9"/>
      <c r="G823" s="26"/>
      <c r="H823" s="26"/>
    </row>
    <row r="824">
      <c r="A824" s="9"/>
      <c r="B824" s="9"/>
      <c r="G824" s="26"/>
      <c r="H824" s="26"/>
    </row>
    <row r="825">
      <c r="A825" s="9"/>
      <c r="B825" s="9"/>
      <c r="G825" s="26"/>
      <c r="H825" s="26"/>
    </row>
    <row r="826">
      <c r="A826" s="9"/>
      <c r="B826" s="9"/>
      <c r="G826" s="26"/>
      <c r="H826" s="26"/>
    </row>
    <row r="827">
      <c r="A827" s="9"/>
      <c r="B827" s="9"/>
      <c r="G827" s="26"/>
      <c r="H827" s="26"/>
    </row>
    <row r="828">
      <c r="A828" s="9"/>
      <c r="B828" s="9"/>
      <c r="G828" s="26"/>
      <c r="H828" s="26"/>
    </row>
    <row r="829">
      <c r="A829" s="9"/>
      <c r="B829" s="9"/>
      <c r="G829" s="26"/>
      <c r="H829" s="26"/>
    </row>
    <row r="830">
      <c r="A830" s="9"/>
      <c r="B830" s="9"/>
      <c r="G830" s="26"/>
      <c r="H830" s="26"/>
    </row>
    <row r="831">
      <c r="A831" s="9"/>
      <c r="B831" s="9"/>
      <c r="G831" s="26"/>
      <c r="H831" s="26"/>
    </row>
    <row r="832">
      <c r="A832" s="9"/>
      <c r="B832" s="9"/>
      <c r="G832" s="26"/>
      <c r="H832" s="26"/>
    </row>
    <row r="833">
      <c r="A833" s="9"/>
      <c r="B833" s="9"/>
      <c r="G833" s="26"/>
      <c r="H833" s="26"/>
    </row>
    <row r="834">
      <c r="A834" s="9"/>
      <c r="B834" s="9"/>
      <c r="G834" s="26"/>
      <c r="H834" s="26"/>
    </row>
    <row r="835">
      <c r="A835" s="9"/>
      <c r="B835" s="9"/>
      <c r="G835" s="26"/>
      <c r="H835" s="26"/>
    </row>
    <row r="836">
      <c r="A836" s="9"/>
      <c r="B836" s="9"/>
      <c r="G836" s="26"/>
      <c r="H836" s="26"/>
    </row>
    <row r="837">
      <c r="A837" s="9"/>
      <c r="B837" s="9"/>
      <c r="G837" s="26"/>
      <c r="H837" s="26"/>
    </row>
    <row r="838">
      <c r="A838" s="9"/>
      <c r="B838" s="9"/>
      <c r="G838" s="26"/>
      <c r="H838" s="26"/>
    </row>
    <row r="839">
      <c r="A839" s="9"/>
      <c r="B839" s="9"/>
      <c r="G839" s="26"/>
      <c r="H839" s="26"/>
    </row>
    <row r="840">
      <c r="A840" s="9"/>
      <c r="B840" s="9"/>
      <c r="G840" s="26"/>
      <c r="H840" s="26"/>
    </row>
    <row r="841">
      <c r="A841" s="9"/>
      <c r="B841" s="9"/>
      <c r="G841" s="26"/>
      <c r="H841" s="26"/>
    </row>
    <row r="842">
      <c r="A842" s="9"/>
      <c r="B842" s="9"/>
      <c r="G842" s="26"/>
      <c r="H842" s="26"/>
    </row>
    <row r="843">
      <c r="A843" s="9"/>
      <c r="B843" s="9"/>
      <c r="G843" s="26"/>
      <c r="H843" s="26"/>
    </row>
    <row r="844">
      <c r="A844" s="9"/>
      <c r="B844" s="9"/>
      <c r="G844" s="26"/>
      <c r="H844" s="26"/>
    </row>
    <row r="845">
      <c r="A845" s="9"/>
      <c r="B845" s="9"/>
      <c r="G845" s="26"/>
      <c r="H845" s="26"/>
    </row>
    <row r="846">
      <c r="A846" s="9"/>
      <c r="B846" s="9"/>
      <c r="G846" s="26"/>
      <c r="H846" s="26"/>
    </row>
    <row r="847">
      <c r="A847" s="9"/>
      <c r="B847" s="9"/>
      <c r="G847" s="26"/>
      <c r="H847" s="26"/>
    </row>
    <row r="848">
      <c r="A848" s="9"/>
      <c r="B848" s="9"/>
      <c r="G848" s="26"/>
      <c r="H848" s="26"/>
    </row>
    <row r="849">
      <c r="A849" s="9"/>
      <c r="B849" s="9"/>
      <c r="G849" s="26"/>
      <c r="H849" s="26"/>
    </row>
    <row r="850">
      <c r="A850" s="9"/>
      <c r="B850" s="9"/>
      <c r="G850" s="26"/>
      <c r="H850" s="26"/>
    </row>
    <row r="851">
      <c r="A851" s="9"/>
      <c r="B851" s="9"/>
      <c r="G851" s="26"/>
      <c r="H851" s="26"/>
    </row>
    <row r="852">
      <c r="A852" s="9"/>
      <c r="B852" s="9"/>
      <c r="G852" s="26"/>
      <c r="H852" s="26"/>
    </row>
    <row r="853">
      <c r="A853" s="9"/>
      <c r="B853" s="9"/>
      <c r="G853" s="26"/>
      <c r="H853" s="26"/>
    </row>
    <row r="854">
      <c r="A854" s="9"/>
      <c r="B854" s="9"/>
      <c r="G854" s="26"/>
      <c r="H854" s="26"/>
    </row>
    <row r="855">
      <c r="A855" s="9"/>
      <c r="B855" s="9"/>
      <c r="G855" s="26"/>
      <c r="H855" s="26"/>
    </row>
    <row r="856">
      <c r="A856" s="9"/>
      <c r="B856" s="9"/>
      <c r="G856" s="26"/>
      <c r="H856" s="26"/>
    </row>
    <row r="857">
      <c r="A857" s="9"/>
      <c r="B857" s="9"/>
      <c r="G857" s="26"/>
      <c r="H857" s="26"/>
    </row>
    <row r="858">
      <c r="A858" s="9"/>
      <c r="B858" s="9"/>
      <c r="G858" s="26"/>
      <c r="H858" s="26"/>
    </row>
    <row r="859">
      <c r="A859" s="9"/>
      <c r="B859" s="9"/>
      <c r="G859" s="26"/>
      <c r="H859" s="26"/>
    </row>
    <row r="860">
      <c r="A860" s="9"/>
      <c r="B860" s="9"/>
      <c r="G860" s="26"/>
      <c r="H860" s="26"/>
    </row>
    <row r="861">
      <c r="A861" s="9"/>
      <c r="B861" s="9"/>
      <c r="G861" s="26"/>
      <c r="H861" s="26"/>
    </row>
    <row r="862">
      <c r="A862" s="9"/>
      <c r="B862" s="9"/>
      <c r="G862" s="26"/>
      <c r="H862" s="26"/>
    </row>
    <row r="863">
      <c r="A863" s="9"/>
      <c r="B863" s="9"/>
      <c r="G863" s="26"/>
      <c r="H863" s="26"/>
    </row>
    <row r="864">
      <c r="A864" s="9"/>
      <c r="B864" s="9"/>
      <c r="G864" s="26"/>
      <c r="H864" s="26"/>
    </row>
    <row r="865">
      <c r="A865" s="9"/>
      <c r="B865" s="9"/>
      <c r="G865" s="26"/>
      <c r="H865" s="26"/>
    </row>
    <row r="866">
      <c r="A866" s="9"/>
      <c r="B866" s="9"/>
      <c r="G866" s="26"/>
      <c r="H866" s="26"/>
    </row>
    <row r="867">
      <c r="A867" s="9"/>
      <c r="B867" s="9"/>
      <c r="G867" s="26"/>
      <c r="H867" s="26"/>
    </row>
    <row r="868">
      <c r="A868" s="9"/>
      <c r="B868" s="9"/>
      <c r="G868" s="26"/>
      <c r="H868" s="26"/>
    </row>
    <row r="869">
      <c r="A869" s="9"/>
      <c r="B869" s="9"/>
      <c r="G869" s="26"/>
      <c r="H869" s="26"/>
    </row>
    <row r="870">
      <c r="A870" s="9"/>
      <c r="B870" s="9"/>
      <c r="G870" s="26"/>
      <c r="H870" s="26"/>
    </row>
    <row r="871">
      <c r="A871" s="9"/>
      <c r="B871" s="9"/>
      <c r="G871" s="26"/>
      <c r="H871" s="26"/>
    </row>
    <row r="872">
      <c r="A872" s="9"/>
      <c r="B872" s="9"/>
      <c r="G872" s="26"/>
      <c r="H872" s="26"/>
    </row>
    <row r="873">
      <c r="A873" s="9"/>
      <c r="B873" s="9"/>
      <c r="G873" s="26"/>
      <c r="H873" s="26"/>
    </row>
    <row r="874">
      <c r="A874" s="9"/>
      <c r="B874" s="9"/>
      <c r="G874" s="26"/>
      <c r="H874" s="26"/>
    </row>
    <row r="875">
      <c r="A875" s="9"/>
      <c r="B875" s="9"/>
      <c r="G875" s="26"/>
      <c r="H875" s="26"/>
    </row>
    <row r="876">
      <c r="A876" s="9"/>
      <c r="B876" s="9"/>
      <c r="G876" s="26"/>
      <c r="H876" s="26"/>
    </row>
    <row r="877">
      <c r="A877" s="9"/>
      <c r="B877" s="9"/>
      <c r="G877" s="26"/>
      <c r="H877" s="26"/>
    </row>
    <row r="878">
      <c r="A878" s="9"/>
      <c r="B878" s="9"/>
      <c r="G878" s="26"/>
      <c r="H878" s="26"/>
    </row>
    <row r="879">
      <c r="A879" s="9"/>
      <c r="B879" s="9"/>
      <c r="G879" s="26"/>
      <c r="H879" s="26"/>
    </row>
    <row r="880">
      <c r="A880" s="9"/>
      <c r="B880" s="9"/>
      <c r="G880" s="26"/>
      <c r="H880" s="26"/>
    </row>
    <row r="881">
      <c r="A881" s="9"/>
      <c r="B881" s="9"/>
      <c r="G881" s="26"/>
      <c r="H881" s="26"/>
    </row>
    <row r="882">
      <c r="A882" s="9"/>
      <c r="B882" s="9"/>
      <c r="G882" s="26"/>
      <c r="H882" s="26"/>
    </row>
    <row r="883">
      <c r="A883" s="9"/>
      <c r="B883" s="9"/>
      <c r="G883" s="26"/>
      <c r="H883" s="26"/>
    </row>
    <row r="884">
      <c r="A884" s="9"/>
      <c r="B884" s="9"/>
      <c r="G884" s="26"/>
      <c r="H884" s="26"/>
    </row>
    <row r="885">
      <c r="A885" s="9"/>
      <c r="B885" s="9"/>
      <c r="G885" s="26"/>
      <c r="H885" s="26"/>
    </row>
    <row r="886">
      <c r="A886" s="9"/>
      <c r="B886" s="9"/>
      <c r="G886" s="26"/>
      <c r="H886" s="26"/>
    </row>
    <row r="887">
      <c r="A887" s="9"/>
      <c r="B887" s="9"/>
      <c r="G887" s="26"/>
      <c r="H887" s="26"/>
    </row>
    <row r="888">
      <c r="A888" s="9"/>
      <c r="B888" s="9"/>
      <c r="G888" s="26"/>
      <c r="H888" s="26"/>
    </row>
    <row r="889">
      <c r="A889" s="9"/>
      <c r="B889" s="9"/>
      <c r="G889" s="26"/>
      <c r="H889" s="26"/>
    </row>
    <row r="890">
      <c r="A890" s="9"/>
      <c r="B890" s="9"/>
      <c r="G890" s="26"/>
      <c r="H890" s="26"/>
    </row>
    <row r="891">
      <c r="A891" s="9"/>
      <c r="B891" s="9"/>
      <c r="G891" s="26"/>
      <c r="H891" s="26"/>
    </row>
    <row r="892">
      <c r="A892" s="9"/>
      <c r="B892" s="9"/>
      <c r="G892" s="26"/>
      <c r="H892" s="26"/>
    </row>
    <row r="893">
      <c r="A893" s="9"/>
      <c r="B893" s="9"/>
      <c r="G893" s="26"/>
      <c r="H893" s="26"/>
    </row>
    <row r="894">
      <c r="A894" s="9"/>
      <c r="B894" s="9"/>
      <c r="G894" s="26"/>
      <c r="H894" s="26"/>
    </row>
    <row r="895">
      <c r="A895" s="9"/>
      <c r="B895" s="9"/>
      <c r="G895" s="26"/>
      <c r="H895" s="26"/>
    </row>
    <row r="896">
      <c r="A896" s="9"/>
      <c r="B896" s="9"/>
      <c r="G896" s="26"/>
      <c r="H896" s="26"/>
    </row>
    <row r="897">
      <c r="A897" s="9"/>
      <c r="B897" s="9"/>
      <c r="G897" s="26"/>
      <c r="H897" s="26"/>
    </row>
    <row r="898">
      <c r="A898" s="9"/>
      <c r="B898" s="9"/>
      <c r="G898" s="26"/>
      <c r="H898" s="26"/>
    </row>
    <row r="899">
      <c r="A899" s="9"/>
      <c r="B899" s="9"/>
      <c r="G899" s="26"/>
      <c r="H899" s="26"/>
    </row>
    <row r="900">
      <c r="A900" s="9"/>
      <c r="B900" s="9"/>
      <c r="G900" s="26"/>
      <c r="H900" s="26"/>
    </row>
    <row r="901">
      <c r="A901" s="9"/>
      <c r="B901" s="9"/>
      <c r="G901" s="26"/>
      <c r="H901" s="26"/>
    </row>
    <row r="902">
      <c r="A902" s="9"/>
      <c r="B902" s="9"/>
      <c r="G902" s="26"/>
      <c r="H902" s="26"/>
    </row>
    <row r="903">
      <c r="A903" s="9"/>
      <c r="B903" s="9"/>
      <c r="G903" s="26"/>
      <c r="H903" s="26"/>
    </row>
    <row r="904">
      <c r="A904" s="9"/>
      <c r="B904" s="9"/>
      <c r="G904" s="26"/>
      <c r="H904" s="26"/>
    </row>
    <row r="905">
      <c r="A905" s="9"/>
      <c r="B905" s="9"/>
      <c r="G905" s="26"/>
      <c r="H905" s="26"/>
    </row>
    <row r="906">
      <c r="A906" s="9"/>
      <c r="B906" s="9"/>
      <c r="G906" s="26"/>
      <c r="H906" s="26"/>
    </row>
    <row r="907">
      <c r="A907" s="9"/>
      <c r="B907" s="9"/>
      <c r="G907" s="26"/>
      <c r="H907" s="26"/>
    </row>
    <row r="908">
      <c r="A908" s="9"/>
      <c r="B908" s="9"/>
      <c r="G908" s="26"/>
      <c r="H908" s="26"/>
    </row>
    <row r="909">
      <c r="A909" s="9"/>
      <c r="B909" s="9"/>
      <c r="G909" s="26"/>
      <c r="H909" s="26"/>
    </row>
    <row r="910">
      <c r="A910" s="9"/>
      <c r="B910" s="9"/>
      <c r="G910" s="26"/>
      <c r="H910" s="26"/>
    </row>
    <row r="911">
      <c r="A911" s="9"/>
      <c r="B911" s="9"/>
      <c r="G911" s="26"/>
      <c r="H911" s="26"/>
    </row>
    <row r="912">
      <c r="A912" s="9"/>
      <c r="B912" s="9"/>
      <c r="G912" s="26"/>
      <c r="H912" s="26"/>
    </row>
    <row r="913">
      <c r="A913" s="9"/>
      <c r="B913" s="9"/>
      <c r="G913" s="26"/>
      <c r="H913" s="26"/>
    </row>
    <row r="914">
      <c r="A914" s="9"/>
      <c r="B914" s="9"/>
      <c r="G914" s="26"/>
      <c r="H914" s="26"/>
    </row>
    <row r="915">
      <c r="A915" s="9"/>
      <c r="B915" s="9"/>
      <c r="G915" s="26"/>
      <c r="H915" s="26"/>
    </row>
    <row r="916">
      <c r="A916" s="9"/>
      <c r="B916" s="9"/>
      <c r="G916" s="26"/>
      <c r="H916" s="26"/>
    </row>
    <row r="917">
      <c r="A917" s="9"/>
      <c r="B917" s="9"/>
      <c r="G917" s="26"/>
      <c r="H917" s="26"/>
    </row>
    <row r="918">
      <c r="A918" s="9"/>
      <c r="B918" s="9"/>
      <c r="G918" s="26"/>
      <c r="H918" s="26"/>
    </row>
    <row r="919">
      <c r="A919" s="9"/>
      <c r="B919" s="9"/>
      <c r="G919" s="26"/>
      <c r="H919" s="26"/>
    </row>
    <row r="920">
      <c r="A920" s="9"/>
      <c r="B920" s="9"/>
      <c r="G920" s="26"/>
      <c r="H920" s="26"/>
    </row>
    <row r="921">
      <c r="A921" s="9"/>
      <c r="B921" s="9"/>
      <c r="G921" s="26"/>
      <c r="H921" s="26"/>
    </row>
    <row r="922">
      <c r="A922" s="9"/>
      <c r="B922" s="9"/>
      <c r="G922" s="26"/>
      <c r="H922" s="26"/>
    </row>
    <row r="923">
      <c r="A923" s="9"/>
      <c r="B923" s="9"/>
      <c r="G923" s="26"/>
      <c r="H923" s="26"/>
    </row>
    <row r="924">
      <c r="A924" s="9"/>
      <c r="B924" s="9"/>
      <c r="G924" s="26"/>
      <c r="H924" s="26"/>
    </row>
    <row r="925">
      <c r="A925" s="9"/>
      <c r="B925" s="9"/>
      <c r="G925" s="26"/>
      <c r="H925" s="26"/>
    </row>
    <row r="926">
      <c r="A926" s="9"/>
      <c r="B926" s="9"/>
      <c r="G926" s="26"/>
      <c r="H926" s="26"/>
    </row>
    <row r="927">
      <c r="A927" s="9"/>
      <c r="B927" s="9"/>
      <c r="G927" s="26"/>
      <c r="H927" s="26"/>
    </row>
    <row r="928">
      <c r="A928" s="9"/>
      <c r="B928" s="9"/>
      <c r="G928" s="26"/>
      <c r="H928" s="26"/>
    </row>
    <row r="929">
      <c r="A929" s="9"/>
      <c r="B929" s="9"/>
      <c r="G929" s="26"/>
      <c r="H929" s="26"/>
    </row>
    <row r="930">
      <c r="A930" s="9"/>
      <c r="B930" s="9"/>
      <c r="G930" s="26"/>
      <c r="H930" s="26"/>
    </row>
    <row r="931">
      <c r="A931" s="9"/>
      <c r="B931" s="9"/>
      <c r="G931" s="26"/>
      <c r="H931" s="26"/>
    </row>
    <row r="932">
      <c r="A932" s="9"/>
      <c r="B932" s="9"/>
      <c r="G932" s="26"/>
      <c r="H932" s="26"/>
    </row>
    <row r="933">
      <c r="A933" s="9"/>
      <c r="B933" s="9"/>
      <c r="G933" s="26"/>
      <c r="H933" s="26"/>
    </row>
    <row r="934">
      <c r="A934" s="9"/>
      <c r="B934" s="9"/>
      <c r="G934" s="26"/>
      <c r="H934" s="26"/>
    </row>
    <row r="935">
      <c r="A935" s="9"/>
      <c r="B935" s="9"/>
      <c r="G935" s="26"/>
      <c r="H935" s="26"/>
    </row>
    <row r="936">
      <c r="A936" s="9"/>
      <c r="B936" s="9"/>
      <c r="G936" s="26"/>
      <c r="H936" s="26"/>
    </row>
    <row r="937">
      <c r="A937" s="9"/>
      <c r="B937" s="9"/>
      <c r="G937" s="26"/>
      <c r="H937" s="26"/>
    </row>
    <row r="938">
      <c r="A938" s="9"/>
      <c r="B938" s="9"/>
      <c r="G938" s="26"/>
      <c r="H938" s="26"/>
    </row>
    <row r="939">
      <c r="A939" s="9"/>
      <c r="B939" s="9"/>
      <c r="G939" s="26"/>
      <c r="H939" s="26"/>
    </row>
    <row r="940">
      <c r="A940" s="9"/>
      <c r="B940" s="9"/>
      <c r="G940" s="26"/>
      <c r="H940" s="26"/>
    </row>
    <row r="941">
      <c r="A941" s="9"/>
      <c r="B941" s="9"/>
      <c r="G941" s="26"/>
      <c r="H941" s="26"/>
    </row>
    <row r="942">
      <c r="A942" s="9"/>
      <c r="B942" s="9"/>
      <c r="G942" s="26"/>
      <c r="H942" s="26"/>
    </row>
    <row r="943">
      <c r="A943" s="9"/>
      <c r="B943" s="9"/>
      <c r="G943" s="26"/>
      <c r="H943" s="26"/>
    </row>
    <row r="944">
      <c r="A944" s="9"/>
      <c r="B944" s="9"/>
      <c r="G944" s="26"/>
      <c r="H944" s="26"/>
    </row>
    <row r="945">
      <c r="A945" s="9"/>
      <c r="B945" s="9"/>
      <c r="G945" s="26"/>
      <c r="H945" s="26"/>
    </row>
    <row r="946">
      <c r="A946" s="9"/>
      <c r="B946" s="9"/>
      <c r="G946" s="26"/>
      <c r="H946" s="26"/>
    </row>
    <row r="947">
      <c r="A947" s="9"/>
      <c r="B947" s="9"/>
      <c r="G947" s="26"/>
      <c r="H947" s="26"/>
    </row>
    <row r="948">
      <c r="A948" s="9"/>
      <c r="B948" s="9"/>
      <c r="G948" s="26"/>
      <c r="H948" s="26"/>
    </row>
    <row r="949">
      <c r="A949" s="9"/>
      <c r="B949" s="9"/>
      <c r="G949" s="26"/>
      <c r="H949" s="26"/>
    </row>
    <row r="950">
      <c r="A950" s="9"/>
      <c r="B950" s="9"/>
      <c r="G950" s="26"/>
      <c r="H950" s="26"/>
    </row>
    <row r="951">
      <c r="A951" s="9"/>
      <c r="B951" s="9"/>
      <c r="G951" s="26"/>
      <c r="H951" s="26"/>
    </row>
    <row r="952">
      <c r="A952" s="9"/>
      <c r="B952" s="9"/>
      <c r="G952" s="26"/>
      <c r="H952" s="26"/>
    </row>
    <row r="953">
      <c r="A953" s="9"/>
      <c r="B953" s="9"/>
      <c r="G953" s="26"/>
      <c r="H953" s="26"/>
    </row>
    <row r="954">
      <c r="A954" s="9"/>
      <c r="B954" s="9"/>
      <c r="G954" s="26"/>
      <c r="H954" s="26"/>
    </row>
    <row r="955">
      <c r="A955" s="9"/>
      <c r="B955" s="9"/>
      <c r="G955" s="26"/>
      <c r="H955" s="26"/>
    </row>
    <row r="956">
      <c r="A956" s="9"/>
      <c r="B956" s="9"/>
      <c r="G956" s="26"/>
      <c r="H956" s="26"/>
    </row>
    <row r="957">
      <c r="A957" s="9"/>
      <c r="B957" s="9"/>
      <c r="G957" s="26"/>
      <c r="H957" s="26"/>
    </row>
    <row r="958">
      <c r="A958" s="9"/>
      <c r="B958" s="9"/>
      <c r="G958" s="26"/>
      <c r="H958" s="26"/>
    </row>
    <row r="959">
      <c r="A959" s="9"/>
      <c r="B959" s="9"/>
      <c r="G959" s="26"/>
      <c r="H959" s="26"/>
    </row>
    <row r="960">
      <c r="A960" s="9"/>
      <c r="B960" s="9"/>
      <c r="G960" s="26"/>
      <c r="H960" s="26"/>
    </row>
    <row r="961">
      <c r="A961" s="9"/>
      <c r="B961" s="9"/>
      <c r="G961" s="26"/>
      <c r="H961" s="26"/>
    </row>
    <row r="962">
      <c r="A962" s="9"/>
      <c r="B962" s="9"/>
      <c r="G962" s="26"/>
      <c r="H962" s="26"/>
    </row>
    <row r="963">
      <c r="A963" s="9"/>
      <c r="B963" s="9"/>
      <c r="G963" s="9"/>
      <c r="H963" s="9"/>
    </row>
    <row r="964">
      <c r="A964" s="9"/>
      <c r="B964" s="9"/>
      <c r="G964" s="9"/>
      <c r="H964" s="9"/>
    </row>
    <row r="965">
      <c r="A965" s="9"/>
      <c r="B965" s="9"/>
      <c r="G965" s="9"/>
      <c r="H965" s="9"/>
    </row>
    <row r="966">
      <c r="A966" s="9"/>
      <c r="B966" s="9"/>
      <c r="G966" s="9"/>
      <c r="H966" s="9"/>
    </row>
    <row r="967">
      <c r="A967" s="9"/>
      <c r="B967" s="9"/>
      <c r="G967" s="9"/>
      <c r="H967" s="9"/>
    </row>
    <row r="968">
      <c r="A968" s="9"/>
      <c r="B968" s="9"/>
      <c r="G968" s="9"/>
      <c r="H968" s="9"/>
    </row>
    <row r="969">
      <c r="A969" s="9"/>
      <c r="B969" s="9"/>
      <c r="G969" s="9"/>
      <c r="H969" s="9"/>
    </row>
    <row r="970">
      <c r="A970" s="9"/>
      <c r="B970" s="9"/>
      <c r="G970" s="9"/>
      <c r="H970" s="9"/>
    </row>
    <row r="971">
      <c r="A971" s="9"/>
      <c r="B971" s="9"/>
      <c r="G971" s="9"/>
      <c r="H971" s="9"/>
    </row>
    <row r="972">
      <c r="A972" s="9"/>
      <c r="B972" s="9"/>
      <c r="G972" s="9"/>
      <c r="H972" s="9"/>
    </row>
    <row r="973">
      <c r="A973" s="9"/>
      <c r="B973" s="9"/>
      <c r="G973" s="9"/>
      <c r="H973" s="9"/>
    </row>
    <row r="974">
      <c r="A974" s="9"/>
      <c r="B974" s="9"/>
      <c r="G974" s="9"/>
      <c r="H974" s="9"/>
    </row>
    <row r="975">
      <c r="A975" s="9"/>
      <c r="B975" s="9"/>
      <c r="G975" s="9"/>
      <c r="H975" s="9"/>
    </row>
    <row r="976">
      <c r="A976" s="9"/>
      <c r="B976" s="9"/>
      <c r="G976" s="9"/>
      <c r="H976" s="9"/>
    </row>
    <row r="977">
      <c r="A977" s="9"/>
      <c r="B977" s="9"/>
      <c r="G977" s="9"/>
      <c r="H977" s="9"/>
    </row>
    <row r="978">
      <c r="A978" s="9"/>
      <c r="B978" s="9"/>
      <c r="G978" s="9"/>
      <c r="H978" s="9"/>
    </row>
    <row r="979">
      <c r="A979" s="9"/>
      <c r="B979" s="9"/>
      <c r="G979" s="9"/>
      <c r="H979" s="9"/>
    </row>
    <row r="980">
      <c r="A980" s="9"/>
      <c r="B980" s="9"/>
      <c r="G980" s="9"/>
      <c r="H980" s="9"/>
    </row>
    <row r="981">
      <c r="A981" s="9"/>
      <c r="B981" s="9"/>
      <c r="G981" s="9"/>
      <c r="H981" s="9"/>
    </row>
    <row r="982">
      <c r="A982" s="9"/>
      <c r="B982" s="9"/>
      <c r="G982" s="9"/>
      <c r="H982" s="9"/>
    </row>
    <row r="983">
      <c r="A983" s="9"/>
      <c r="B983" s="9"/>
      <c r="G983" s="9"/>
      <c r="H983" s="9"/>
    </row>
    <row r="984">
      <c r="A984" s="9"/>
      <c r="B984" s="9"/>
      <c r="G984" s="9"/>
      <c r="H984" s="9"/>
    </row>
    <row r="985">
      <c r="A985" s="9"/>
      <c r="B985" s="9"/>
      <c r="G985" s="9"/>
      <c r="H985" s="9"/>
    </row>
    <row r="986">
      <c r="A986" s="9"/>
      <c r="B986" s="9"/>
      <c r="G986" s="9"/>
      <c r="H986" s="9"/>
    </row>
    <row r="987">
      <c r="A987" s="9"/>
      <c r="B987" s="9"/>
      <c r="G987" s="9"/>
      <c r="H987" s="9"/>
    </row>
    <row r="988">
      <c r="A988" s="9"/>
      <c r="B988" s="9"/>
      <c r="G988" s="9"/>
      <c r="H988" s="9"/>
    </row>
    <row r="989">
      <c r="A989" s="9"/>
      <c r="B989" s="9"/>
      <c r="G989" s="9"/>
      <c r="H989" s="9"/>
    </row>
    <row r="990">
      <c r="A990" s="9"/>
      <c r="B990" s="9"/>
      <c r="G990" s="9"/>
      <c r="H990" s="9"/>
    </row>
    <row r="991">
      <c r="A991" s="9"/>
      <c r="B991" s="9"/>
      <c r="G991" s="9"/>
      <c r="H991" s="9"/>
    </row>
    <row r="992">
      <c r="A992" s="9"/>
      <c r="B992" s="9"/>
      <c r="G992" s="9"/>
      <c r="H992" s="9"/>
    </row>
    <row r="993">
      <c r="A993" s="9"/>
      <c r="B993" s="9"/>
      <c r="G993" s="9"/>
      <c r="H993" s="9"/>
    </row>
    <row r="994">
      <c r="A994" s="9"/>
      <c r="B994" s="9"/>
      <c r="G994" s="9"/>
      <c r="H994" s="9"/>
    </row>
    <row r="995">
      <c r="A995" s="9"/>
      <c r="B995" s="9"/>
      <c r="G995" s="9"/>
      <c r="H995" s="9"/>
    </row>
    <row r="996">
      <c r="A996" s="9"/>
      <c r="B996" s="9"/>
      <c r="G996" s="9"/>
      <c r="H996" s="9"/>
    </row>
    <row r="997">
      <c r="A997" s="9"/>
      <c r="B997" s="9"/>
      <c r="G997" s="9"/>
      <c r="H997" s="9"/>
    </row>
    <row r="998">
      <c r="A998" s="9"/>
      <c r="B998" s="9"/>
      <c r="G998" s="9"/>
      <c r="H998" s="9"/>
    </row>
    <row r="999">
      <c r="A999" s="9"/>
      <c r="B999" s="9"/>
      <c r="G999" s="9"/>
      <c r="H999" s="9"/>
    </row>
    <row r="1000">
      <c r="A1000" s="9"/>
      <c r="B1000" s="9"/>
      <c r="G1000" s="9"/>
      <c r="H1000" s="9"/>
    </row>
    <row r="1001">
      <c r="A1001" s="9"/>
      <c r="B1001" s="9"/>
      <c r="G1001" s="9"/>
      <c r="H1001" s="9"/>
    </row>
  </sheetData>
  <mergeCells count="2">
    <mergeCell ref="C1:F1"/>
    <mergeCell ref="I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9" max="29" width="1.5"/>
  </cols>
  <sheetData>
    <row r="1">
      <c r="A1" s="29" t="s">
        <v>23</v>
      </c>
      <c r="B1" s="30">
        <v>0.4166666666666667</v>
      </c>
      <c r="Z1" s="31" t="s">
        <v>22</v>
      </c>
      <c r="AC1" s="32"/>
      <c r="AD1" s="33">
        <v>0.5833333333333334</v>
      </c>
      <c r="BB1" s="31" t="s">
        <v>22</v>
      </c>
    </row>
    <row r="2">
      <c r="A2" s="34"/>
      <c r="B2" s="11" t="s">
        <v>21</v>
      </c>
      <c r="C2" s="12"/>
      <c r="D2" s="12"/>
      <c r="E2" s="12"/>
      <c r="F2" s="35" t="s">
        <v>33</v>
      </c>
      <c r="G2" s="12"/>
      <c r="H2" s="12"/>
      <c r="I2" s="12"/>
      <c r="J2" s="36" t="s">
        <v>34</v>
      </c>
      <c r="K2" s="12"/>
      <c r="L2" s="12"/>
      <c r="M2" s="12"/>
      <c r="N2" s="37" t="s">
        <v>35</v>
      </c>
      <c r="O2" s="12"/>
      <c r="P2" s="12"/>
      <c r="Q2" s="12"/>
      <c r="R2" s="38" t="s">
        <v>36</v>
      </c>
      <c r="S2" s="12"/>
      <c r="T2" s="12"/>
      <c r="U2" s="12"/>
      <c r="V2" s="39" t="s">
        <v>37</v>
      </c>
      <c r="W2" s="12"/>
      <c r="X2" s="12"/>
      <c r="Y2" s="12"/>
      <c r="Z2" s="40" t="s">
        <v>38</v>
      </c>
      <c r="AA2" s="40" t="s">
        <v>39</v>
      </c>
      <c r="AB2" s="40" t="s">
        <v>29</v>
      </c>
      <c r="AD2" s="11" t="s">
        <v>21</v>
      </c>
      <c r="AE2" s="12"/>
      <c r="AF2" s="12"/>
      <c r="AG2" s="12"/>
      <c r="AH2" s="35" t="s">
        <v>33</v>
      </c>
      <c r="AI2" s="12"/>
      <c r="AJ2" s="12"/>
      <c r="AK2" s="12"/>
      <c r="AL2" s="36" t="s">
        <v>34</v>
      </c>
      <c r="AM2" s="12"/>
      <c r="AN2" s="12"/>
      <c r="AO2" s="12"/>
      <c r="AP2" s="37" t="s">
        <v>35</v>
      </c>
      <c r="AQ2" s="12"/>
      <c r="AR2" s="12"/>
      <c r="AS2" s="12"/>
      <c r="AT2" s="38" t="s">
        <v>36</v>
      </c>
      <c r="AU2" s="12"/>
      <c r="AV2" s="12"/>
      <c r="AW2" s="12"/>
      <c r="AX2" s="39" t="s">
        <v>37</v>
      </c>
      <c r="AY2" s="12"/>
      <c r="AZ2" s="12"/>
      <c r="BA2" s="12"/>
      <c r="BB2" s="40" t="s">
        <v>38</v>
      </c>
      <c r="BC2" s="40" t="s">
        <v>39</v>
      </c>
      <c r="BD2" s="40" t="s">
        <v>29</v>
      </c>
    </row>
    <row r="3">
      <c r="A3" s="34"/>
      <c r="B3" s="16" t="s">
        <v>25</v>
      </c>
      <c r="C3" s="16" t="s">
        <v>26</v>
      </c>
      <c r="D3" s="16" t="s">
        <v>27</v>
      </c>
      <c r="E3" s="16" t="s">
        <v>28</v>
      </c>
      <c r="F3" s="16" t="s">
        <v>25</v>
      </c>
      <c r="G3" s="16" t="s">
        <v>26</v>
      </c>
      <c r="H3" s="16" t="s">
        <v>27</v>
      </c>
      <c r="I3" s="16" t="s">
        <v>28</v>
      </c>
      <c r="J3" s="16" t="s">
        <v>25</v>
      </c>
      <c r="K3" s="16" t="s">
        <v>26</v>
      </c>
      <c r="L3" s="16" t="s">
        <v>27</v>
      </c>
      <c r="M3" s="16" t="s">
        <v>28</v>
      </c>
      <c r="N3" s="16" t="s">
        <v>25</v>
      </c>
      <c r="O3" s="16" t="s">
        <v>26</v>
      </c>
      <c r="P3" s="16" t="s">
        <v>27</v>
      </c>
      <c r="Q3" s="16" t="s">
        <v>28</v>
      </c>
      <c r="R3" s="16" t="s">
        <v>25</v>
      </c>
      <c r="S3" s="16" t="s">
        <v>26</v>
      </c>
      <c r="T3" s="16" t="s">
        <v>27</v>
      </c>
      <c r="U3" s="16" t="s">
        <v>28</v>
      </c>
      <c r="V3" s="16" t="s">
        <v>25</v>
      </c>
      <c r="W3" s="16" t="s">
        <v>26</v>
      </c>
      <c r="X3" s="16" t="s">
        <v>27</v>
      </c>
      <c r="Y3" s="16" t="s">
        <v>28</v>
      </c>
      <c r="Z3" s="41"/>
      <c r="AA3" s="41"/>
      <c r="AB3" s="41"/>
      <c r="AD3" s="16" t="s">
        <v>25</v>
      </c>
      <c r="AE3" s="16" t="s">
        <v>26</v>
      </c>
      <c r="AF3" s="16" t="s">
        <v>27</v>
      </c>
      <c r="AG3" s="16" t="s">
        <v>28</v>
      </c>
      <c r="AH3" s="16" t="s">
        <v>25</v>
      </c>
      <c r="AI3" s="16" t="s">
        <v>26</v>
      </c>
      <c r="AJ3" s="16" t="s">
        <v>27</v>
      </c>
      <c r="AK3" s="16" t="s">
        <v>28</v>
      </c>
      <c r="AL3" s="16" t="s">
        <v>25</v>
      </c>
      <c r="AM3" s="16" t="s">
        <v>26</v>
      </c>
      <c r="AN3" s="16" t="s">
        <v>27</v>
      </c>
      <c r="AO3" s="16" t="s">
        <v>28</v>
      </c>
      <c r="AP3" s="16" t="s">
        <v>25</v>
      </c>
      <c r="AQ3" s="16" t="s">
        <v>26</v>
      </c>
      <c r="AR3" s="16" t="s">
        <v>27</v>
      </c>
      <c r="AS3" s="16" t="s">
        <v>28</v>
      </c>
      <c r="AT3" s="16" t="s">
        <v>25</v>
      </c>
      <c r="AU3" s="16" t="s">
        <v>26</v>
      </c>
      <c r="AV3" s="16" t="s">
        <v>27</v>
      </c>
      <c r="AW3" s="16" t="s">
        <v>28</v>
      </c>
      <c r="AX3" s="16" t="s">
        <v>25</v>
      </c>
      <c r="AY3" s="16" t="s">
        <v>26</v>
      </c>
      <c r="AZ3" s="16" t="s">
        <v>27</v>
      </c>
      <c r="BA3" s="16" t="s">
        <v>28</v>
      </c>
      <c r="BB3" s="41"/>
      <c r="BC3" s="41"/>
      <c r="BD3" s="41"/>
    </row>
    <row r="4">
      <c r="A4" s="42" t="s">
        <v>40</v>
      </c>
      <c r="B4" s="43" t="s">
        <v>41</v>
      </c>
      <c r="C4" s="43" t="s">
        <v>41</v>
      </c>
      <c r="D4" s="43" t="s">
        <v>41</v>
      </c>
      <c r="E4" s="43" t="s">
        <v>41</v>
      </c>
      <c r="F4" s="43" t="s">
        <v>41</v>
      </c>
      <c r="G4" s="43" t="s">
        <v>41</v>
      </c>
      <c r="H4" s="43" t="s">
        <v>41</v>
      </c>
      <c r="I4" s="43" t="s">
        <v>41</v>
      </c>
      <c r="J4" s="43" t="s">
        <v>41</v>
      </c>
      <c r="K4" s="43" t="s">
        <v>41</v>
      </c>
      <c r="L4" s="43" t="s">
        <v>41</v>
      </c>
      <c r="M4" s="43" t="s">
        <v>41</v>
      </c>
      <c r="N4" s="43" t="s">
        <v>41</v>
      </c>
      <c r="O4" s="43" t="s">
        <v>41</v>
      </c>
      <c r="P4" s="43" t="s">
        <v>41</v>
      </c>
      <c r="Q4" s="43" t="s">
        <v>41</v>
      </c>
      <c r="R4" s="43" t="s">
        <v>41</v>
      </c>
      <c r="S4" s="43" t="s">
        <v>41</v>
      </c>
      <c r="T4" s="43" t="s">
        <v>41</v>
      </c>
      <c r="U4" s="43" t="s">
        <v>41</v>
      </c>
      <c r="V4" s="43" t="s">
        <v>41</v>
      </c>
      <c r="W4" s="43" t="s">
        <v>41</v>
      </c>
      <c r="X4" s="43" t="s">
        <v>41</v>
      </c>
      <c r="Y4" s="43" t="s">
        <v>41</v>
      </c>
      <c r="Z4" s="43" t="s">
        <v>41</v>
      </c>
      <c r="AA4" s="43" t="s">
        <v>41</v>
      </c>
      <c r="AB4" s="44" t="s">
        <v>41</v>
      </c>
      <c r="AC4" s="45"/>
      <c r="AD4" s="43" t="s">
        <v>41</v>
      </c>
      <c r="AE4" s="43" t="s">
        <v>41</v>
      </c>
      <c r="AF4" s="43" t="s">
        <v>41</v>
      </c>
      <c r="AG4" s="43" t="s">
        <v>41</v>
      </c>
      <c r="AH4" s="43" t="s">
        <v>41</v>
      </c>
      <c r="AI4" s="43" t="s">
        <v>41</v>
      </c>
      <c r="AJ4" s="43" t="s">
        <v>41</v>
      </c>
      <c r="AK4" s="43" t="s">
        <v>41</v>
      </c>
      <c r="AL4" s="43" t="s">
        <v>41</v>
      </c>
      <c r="AM4" s="43" t="s">
        <v>41</v>
      </c>
      <c r="AN4" s="43" t="s">
        <v>41</v>
      </c>
      <c r="AO4" s="43" t="s">
        <v>41</v>
      </c>
      <c r="AP4" s="43" t="s">
        <v>41</v>
      </c>
      <c r="AQ4" s="43" t="s">
        <v>41</v>
      </c>
      <c r="AR4" s="43" t="s">
        <v>41</v>
      </c>
      <c r="AS4" s="43" t="s">
        <v>41</v>
      </c>
      <c r="AT4" s="43" t="s">
        <v>41</v>
      </c>
      <c r="AU4" s="43" t="s">
        <v>41</v>
      </c>
      <c r="AV4" s="43" t="s">
        <v>41</v>
      </c>
      <c r="AW4" s="43" t="s">
        <v>41</v>
      </c>
      <c r="AX4" s="43" t="s">
        <v>41</v>
      </c>
      <c r="AY4" s="43" t="s">
        <v>41</v>
      </c>
      <c r="AZ4" s="43" t="s">
        <v>41</v>
      </c>
      <c r="BA4" s="43" t="s">
        <v>41</v>
      </c>
      <c r="BB4" s="43" t="s">
        <v>41</v>
      </c>
      <c r="BC4" s="43" t="s">
        <v>41</v>
      </c>
      <c r="BD4" s="43" t="s">
        <v>41</v>
      </c>
    </row>
    <row r="5">
      <c r="A5" s="42" t="s">
        <v>42</v>
      </c>
      <c r="B5" s="44" t="s">
        <v>41</v>
      </c>
      <c r="C5" s="44" t="s">
        <v>41</v>
      </c>
      <c r="D5" s="44" t="s">
        <v>41</v>
      </c>
      <c r="E5" s="44" t="s">
        <v>41</v>
      </c>
      <c r="F5" s="44" t="s">
        <v>41</v>
      </c>
      <c r="G5" s="44" t="s">
        <v>41</v>
      </c>
      <c r="H5" s="44" t="s">
        <v>41</v>
      </c>
      <c r="I5" s="44" t="s">
        <v>41</v>
      </c>
      <c r="J5" s="44" t="s">
        <v>41</v>
      </c>
      <c r="K5" s="44" t="s">
        <v>41</v>
      </c>
      <c r="L5" s="44" t="s">
        <v>41</v>
      </c>
      <c r="M5" s="44" t="s">
        <v>41</v>
      </c>
      <c r="N5" s="44" t="s">
        <v>41</v>
      </c>
      <c r="O5" s="44" t="s">
        <v>41</v>
      </c>
      <c r="P5" s="44" t="s">
        <v>41</v>
      </c>
      <c r="Q5" s="44" t="s">
        <v>41</v>
      </c>
      <c r="R5" s="44" t="s">
        <v>41</v>
      </c>
      <c r="S5" s="44" t="s">
        <v>41</v>
      </c>
      <c r="T5" s="44" t="s">
        <v>41</v>
      </c>
      <c r="U5" s="44" t="s">
        <v>41</v>
      </c>
      <c r="V5" s="44" t="s">
        <v>41</v>
      </c>
      <c r="W5" s="44" t="s">
        <v>41</v>
      </c>
      <c r="X5" s="44" t="s">
        <v>41</v>
      </c>
      <c r="Y5" s="44" t="s">
        <v>41</v>
      </c>
      <c r="Z5" s="44" t="s">
        <v>41</v>
      </c>
      <c r="AA5" s="44" t="s">
        <v>41</v>
      </c>
      <c r="AB5" s="44" t="s">
        <v>41</v>
      </c>
      <c r="AC5" s="45"/>
      <c r="AD5" s="44" t="s">
        <v>41</v>
      </c>
      <c r="AE5" s="44" t="s">
        <v>41</v>
      </c>
      <c r="AF5" s="44" t="s">
        <v>41</v>
      </c>
      <c r="AG5" s="44" t="s">
        <v>41</v>
      </c>
      <c r="AH5" s="44" t="s">
        <v>41</v>
      </c>
      <c r="AI5" s="44" t="s">
        <v>41</v>
      </c>
      <c r="AJ5" s="44" t="s">
        <v>41</v>
      </c>
      <c r="AK5" s="44" t="s">
        <v>41</v>
      </c>
      <c r="AL5" s="44" t="s">
        <v>41</v>
      </c>
      <c r="AM5" s="44" t="s">
        <v>41</v>
      </c>
      <c r="AN5" s="44" t="s">
        <v>41</v>
      </c>
      <c r="AO5" s="44" t="s">
        <v>41</v>
      </c>
      <c r="AP5" s="44" t="s">
        <v>41</v>
      </c>
      <c r="AQ5" s="44" t="s">
        <v>41</v>
      </c>
      <c r="AR5" s="44" t="s">
        <v>41</v>
      </c>
      <c r="AS5" s="44" t="s">
        <v>41</v>
      </c>
      <c r="AT5" s="44" t="s">
        <v>41</v>
      </c>
      <c r="AU5" s="44" t="s">
        <v>41</v>
      </c>
      <c r="AV5" s="44" t="s">
        <v>41</v>
      </c>
      <c r="AW5" s="44" t="s">
        <v>41</v>
      </c>
      <c r="AX5" s="44" t="s">
        <v>41</v>
      </c>
      <c r="AY5" s="44" t="s">
        <v>41</v>
      </c>
      <c r="AZ5" s="44" t="s">
        <v>41</v>
      </c>
      <c r="BA5" s="44" t="s">
        <v>41</v>
      </c>
      <c r="BB5" s="44" t="s">
        <v>41</v>
      </c>
      <c r="BC5" s="44" t="s">
        <v>41</v>
      </c>
      <c r="BD5" s="44" t="s">
        <v>41</v>
      </c>
    </row>
    <row r="6">
      <c r="A6" s="42" t="s">
        <v>43</v>
      </c>
      <c r="B6" s="44">
        <v>6.9</v>
      </c>
      <c r="C6" s="44">
        <v>2.17</v>
      </c>
      <c r="D6" s="46">
        <f t="shared" ref="D6:D30" si="1">C6/2</f>
        <v>1.085</v>
      </c>
      <c r="E6" s="44">
        <v>21.4</v>
      </c>
      <c r="F6" s="44">
        <v>7.2</v>
      </c>
      <c r="G6" s="44">
        <v>2.62</v>
      </c>
      <c r="H6" s="46">
        <f t="shared" ref="H6:H30" si="2">G6/2</f>
        <v>1.31</v>
      </c>
      <c r="I6" s="44">
        <v>21.3</v>
      </c>
      <c r="J6" s="44">
        <v>7.6</v>
      </c>
      <c r="K6" s="44">
        <v>2.6</v>
      </c>
      <c r="L6" s="46">
        <f t="shared" ref="L6:L30" si="3">K6/2</f>
        <v>1.3</v>
      </c>
      <c r="M6" s="44">
        <v>21.3</v>
      </c>
      <c r="N6" s="44">
        <v>7.6</v>
      </c>
      <c r="O6" s="44">
        <v>2.4</v>
      </c>
      <c r="P6" s="46">
        <f t="shared" ref="P6:P30" si="4">O6/2</f>
        <v>1.2</v>
      </c>
      <c r="Q6" s="44">
        <v>21.3</v>
      </c>
      <c r="R6" s="44">
        <v>7.8</v>
      </c>
      <c r="S6" s="44">
        <v>2.8</v>
      </c>
      <c r="T6" s="46">
        <f t="shared" ref="T6:T30" si="5">S6/2</f>
        <v>1.4</v>
      </c>
      <c r="U6" s="44">
        <v>21.3</v>
      </c>
      <c r="V6" s="44">
        <v>7.7</v>
      </c>
      <c r="W6" s="44">
        <v>2.7</v>
      </c>
      <c r="X6" s="46">
        <f t="shared" ref="X6:X30" si="6">W6/2</f>
        <v>1.35</v>
      </c>
      <c r="Y6" s="44">
        <v>21.7</v>
      </c>
      <c r="Z6" s="44" t="s">
        <v>41</v>
      </c>
      <c r="AA6" s="44" t="s">
        <v>41</v>
      </c>
      <c r="AB6" s="44" t="s">
        <v>41</v>
      </c>
      <c r="AC6" s="45"/>
      <c r="AD6" s="44">
        <v>6.8</v>
      </c>
      <c r="AE6" s="44">
        <v>2.6</v>
      </c>
      <c r="AF6" s="46">
        <f>AE6/2</f>
        <v>1.3</v>
      </c>
      <c r="AG6" s="44">
        <v>22.5</v>
      </c>
      <c r="AH6" s="44">
        <v>7.1</v>
      </c>
      <c r="AI6" s="44">
        <v>2.62</v>
      </c>
      <c r="AJ6" s="46">
        <f>AI6/2</f>
        <v>1.31</v>
      </c>
      <c r="AK6" s="44">
        <v>22.8</v>
      </c>
      <c r="AL6" s="44">
        <v>7.5</v>
      </c>
      <c r="AM6" s="44">
        <v>2.13</v>
      </c>
      <c r="AN6" s="46">
        <f>AM6/2</f>
        <v>1.065</v>
      </c>
      <c r="AO6" s="44">
        <v>22.3</v>
      </c>
      <c r="AP6" s="44">
        <v>7.4</v>
      </c>
      <c r="AQ6" s="44">
        <v>2.8</v>
      </c>
      <c r="AR6" s="46">
        <f>AQ6/2</f>
        <v>1.4</v>
      </c>
      <c r="AS6" s="44">
        <v>23.2</v>
      </c>
      <c r="AT6" s="44">
        <v>7.6</v>
      </c>
      <c r="AU6" s="44">
        <v>2.5</v>
      </c>
      <c r="AV6" s="46">
        <f>AU6/2</f>
        <v>1.25</v>
      </c>
      <c r="AW6" s="44">
        <v>23.2</v>
      </c>
      <c r="AX6" s="44">
        <v>7.5</v>
      </c>
      <c r="AY6" s="44">
        <v>2.7</v>
      </c>
      <c r="AZ6" s="46">
        <f>AY6/2</f>
        <v>1.35</v>
      </c>
      <c r="BA6" s="44">
        <v>23.7</v>
      </c>
      <c r="BB6" s="44" t="s">
        <v>41</v>
      </c>
      <c r="BC6" s="44" t="s">
        <v>41</v>
      </c>
      <c r="BD6" s="44" t="s">
        <v>41</v>
      </c>
    </row>
    <row r="7">
      <c r="A7" s="42" t="s">
        <v>44</v>
      </c>
      <c r="B7" s="44">
        <v>7.0</v>
      </c>
      <c r="C7" s="44">
        <v>2.6</v>
      </c>
      <c r="D7" s="46">
        <f t="shared" si="1"/>
        <v>1.3</v>
      </c>
      <c r="E7" s="44">
        <v>21.7</v>
      </c>
      <c r="F7" s="44">
        <v>7.2</v>
      </c>
      <c r="G7" s="44">
        <v>2.63</v>
      </c>
      <c r="H7" s="46">
        <f t="shared" si="2"/>
        <v>1.315</v>
      </c>
      <c r="I7" s="44">
        <v>21.7</v>
      </c>
      <c r="J7" s="44">
        <v>7.1</v>
      </c>
      <c r="K7" s="44">
        <v>2.55</v>
      </c>
      <c r="L7" s="46">
        <f t="shared" si="3"/>
        <v>1.275</v>
      </c>
      <c r="M7" s="44">
        <v>21.5</v>
      </c>
      <c r="N7" s="44">
        <v>7.5</v>
      </c>
      <c r="O7" s="44">
        <v>2.8</v>
      </c>
      <c r="P7" s="46">
        <f t="shared" si="4"/>
        <v>1.4</v>
      </c>
      <c r="Q7" s="44">
        <v>21.3</v>
      </c>
      <c r="R7" s="44">
        <v>7.7</v>
      </c>
      <c r="S7" s="44">
        <v>2.5</v>
      </c>
      <c r="T7" s="46">
        <f t="shared" si="5"/>
        <v>1.25</v>
      </c>
      <c r="U7" s="44">
        <v>21.2</v>
      </c>
      <c r="V7" s="44">
        <v>7.6</v>
      </c>
      <c r="W7" s="44">
        <v>2.8</v>
      </c>
      <c r="X7" s="46">
        <f t="shared" si="6"/>
        <v>1.4</v>
      </c>
      <c r="Y7" s="44">
        <v>22.0</v>
      </c>
      <c r="Z7" s="47">
        <v>1944.0</v>
      </c>
      <c r="AA7" s="47">
        <v>22.5</v>
      </c>
      <c r="AB7" s="47">
        <v>74.6</v>
      </c>
      <c r="AC7" s="45"/>
      <c r="AD7" s="44" t="s">
        <v>41</v>
      </c>
      <c r="AE7" s="44" t="s">
        <v>41</v>
      </c>
      <c r="AF7" s="44" t="s">
        <v>41</v>
      </c>
      <c r="AG7" s="44" t="s">
        <v>41</v>
      </c>
      <c r="AH7" s="44" t="s">
        <v>41</v>
      </c>
      <c r="AI7" s="44" t="s">
        <v>41</v>
      </c>
      <c r="AJ7" s="44" t="s">
        <v>41</v>
      </c>
      <c r="AK7" s="44" t="s">
        <v>41</v>
      </c>
      <c r="AL7" s="44" t="s">
        <v>41</v>
      </c>
      <c r="AM7" s="44" t="s">
        <v>41</v>
      </c>
      <c r="AN7" s="44" t="s">
        <v>41</v>
      </c>
      <c r="AO7" s="44" t="s">
        <v>41</v>
      </c>
      <c r="AP7" s="44" t="s">
        <v>41</v>
      </c>
      <c r="AQ7" s="44" t="s">
        <v>41</v>
      </c>
      <c r="AR7" s="44" t="s">
        <v>41</v>
      </c>
      <c r="AS7" s="44" t="s">
        <v>41</v>
      </c>
      <c r="AT7" s="44" t="s">
        <v>41</v>
      </c>
      <c r="AU7" s="44" t="s">
        <v>41</v>
      </c>
      <c r="AV7" s="44" t="s">
        <v>41</v>
      </c>
      <c r="AW7" s="44" t="s">
        <v>41</v>
      </c>
      <c r="AX7" s="44" t="s">
        <v>41</v>
      </c>
      <c r="AY7" s="44" t="s">
        <v>41</v>
      </c>
      <c r="AZ7" s="44" t="s">
        <v>41</v>
      </c>
      <c r="BA7" s="44" t="s">
        <v>41</v>
      </c>
      <c r="BB7" s="47">
        <v>20190.0</v>
      </c>
      <c r="BC7" s="47">
        <v>25.3</v>
      </c>
      <c r="BD7" s="47">
        <v>67.9</v>
      </c>
    </row>
    <row r="8">
      <c r="A8" s="48" t="s">
        <v>45</v>
      </c>
      <c r="B8" s="46">
        <v>7.2</v>
      </c>
      <c r="C8" s="46">
        <v>1.74</v>
      </c>
      <c r="D8" s="46">
        <f t="shared" si="1"/>
        <v>0.87</v>
      </c>
      <c r="E8" s="46">
        <v>22.3</v>
      </c>
      <c r="F8" s="46">
        <v>6.9</v>
      </c>
      <c r="G8" s="46">
        <v>2.32</v>
      </c>
      <c r="H8" s="46">
        <f t="shared" si="2"/>
        <v>1.16</v>
      </c>
      <c r="I8" s="46">
        <v>22.2</v>
      </c>
      <c r="J8" s="46">
        <v>7.2</v>
      </c>
      <c r="K8" s="46">
        <v>1.75</v>
      </c>
      <c r="L8" s="46">
        <f t="shared" si="3"/>
        <v>0.875</v>
      </c>
      <c r="M8" s="46">
        <v>22.5</v>
      </c>
      <c r="N8" s="46">
        <v>7.6</v>
      </c>
      <c r="O8" s="46">
        <v>1.73</v>
      </c>
      <c r="P8" s="46">
        <f t="shared" si="4"/>
        <v>0.865</v>
      </c>
      <c r="Q8" s="46">
        <v>22.1</v>
      </c>
      <c r="R8" s="46">
        <v>7.6</v>
      </c>
      <c r="S8" s="46">
        <v>1.76</v>
      </c>
      <c r="T8" s="46">
        <f t="shared" si="5"/>
        <v>0.88</v>
      </c>
      <c r="U8" s="46">
        <v>22.5</v>
      </c>
      <c r="V8" s="46">
        <v>7.7</v>
      </c>
      <c r="W8" s="46">
        <v>1.75</v>
      </c>
      <c r="X8" s="46">
        <f t="shared" si="6"/>
        <v>0.875</v>
      </c>
      <c r="Y8" s="46">
        <v>22.8</v>
      </c>
      <c r="Z8" s="47">
        <v>1664.0</v>
      </c>
      <c r="AA8" s="47">
        <v>25.0</v>
      </c>
      <c r="AB8" s="47">
        <v>73.9</v>
      </c>
      <c r="AC8" s="45"/>
      <c r="AD8" s="46">
        <v>7.0</v>
      </c>
      <c r="AE8" s="46">
        <v>1.97</v>
      </c>
      <c r="AF8" s="46">
        <f t="shared" ref="AF8:AF30" si="7">AE8/2</f>
        <v>0.985</v>
      </c>
      <c r="AG8" s="46">
        <v>23.9</v>
      </c>
      <c r="AH8" s="46">
        <v>7.0</v>
      </c>
      <c r="AI8" s="46">
        <v>2.54</v>
      </c>
      <c r="AJ8" s="46">
        <f t="shared" ref="AJ8:AJ30" si="8">AI8/2</f>
        <v>1.27</v>
      </c>
      <c r="AK8" s="46">
        <v>23.9</v>
      </c>
      <c r="AL8" s="46">
        <v>7.3</v>
      </c>
      <c r="AM8" s="46">
        <v>2.0</v>
      </c>
      <c r="AN8" s="46">
        <f t="shared" ref="AN8:AN30" si="9">AM8/2</f>
        <v>1</v>
      </c>
      <c r="AO8" s="46">
        <v>23.8</v>
      </c>
      <c r="AP8" s="46">
        <v>7.6</v>
      </c>
      <c r="AQ8" s="46">
        <v>1.79</v>
      </c>
      <c r="AR8" s="46">
        <f t="shared" ref="AR8:AR27" si="10">AQ8/2</f>
        <v>0.895</v>
      </c>
      <c r="AS8" s="46">
        <v>24.0</v>
      </c>
      <c r="AT8" s="46">
        <v>7.7</v>
      </c>
      <c r="AU8" s="46">
        <v>2.2</v>
      </c>
      <c r="AV8" s="46">
        <f t="shared" ref="AV8:AV27" si="11">AU8/2</f>
        <v>1.1</v>
      </c>
      <c r="AW8" s="46">
        <v>24.1</v>
      </c>
      <c r="AX8" s="46">
        <v>7.6</v>
      </c>
      <c r="AY8" s="46">
        <v>2.73</v>
      </c>
      <c r="AZ8" s="46">
        <f t="shared" ref="AZ8:AZ27" si="12">AY8/2</f>
        <v>1.365</v>
      </c>
      <c r="BA8" s="46">
        <v>24.5</v>
      </c>
      <c r="BB8" s="47">
        <v>33360.0</v>
      </c>
      <c r="BC8" s="47">
        <v>24.9</v>
      </c>
      <c r="BD8" s="47">
        <v>70.3</v>
      </c>
    </row>
    <row r="9">
      <c r="A9" s="48" t="s">
        <v>46</v>
      </c>
      <c r="B9" s="46">
        <v>7.1</v>
      </c>
      <c r="C9" s="46">
        <v>1.94</v>
      </c>
      <c r="D9" s="46">
        <f t="shared" si="1"/>
        <v>0.97</v>
      </c>
      <c r="E9" s="46">
        <v>19.6</v>
      </c>
      <c r="F9" s="46">
        <v>6.9</v>
      </c>
      <c r="G9" s="46">
        <v>2.52</v>
      </c>
      <c r="H9" s="46">
        <f t="shared" si="2"/>
        <v>1.26</v>
      </c>
      <c r="I9" s="46">
        <v>20.8</v>
      </c>
      <c r="J9" s="46">
        <v>7.4</v>
      </c>
      <c r="K9" s="46">
        <v>1.98</v>
      </c>
      <c r="L9" s="46">
        <f t="shared" si="3"/>
        <v>0.99</v>
      </c>
      <c r="M9" s="46">
        <v>20.9</v>
      </c>
      <c r="N9" s="46">
        <v>7.7</v>
      </c>
      <c r="O9" s="46">
        <v>1.91</v>
      </c>
      <c r="P9" s="46">
        <f t="shared" si="4"/>
        <v>0.955</v>
      </c>
      <c r="Q9" s="46">
        <v>20.8</v>
      </c>
      <c r="R9" s="46">
        <v>7.7</v>
      </c>
      <c r="S9" s="46">
        <v>2.3</v>
      </c>
      <c r="T9" s="46">
        <f t="shared" si="5"/>
        <v>1.15</v>
      </c>
      <c r="U9" s="46">
        <v>26.9</v>
      </c>
      <c r="V9" s="46">
        <v>7.8</v>
      </c>
      <c r="W9" s="46">
        <v>2.0</v>
      </c>
      <c r="X9" s="46">
        <f t="shared" si="6"/>
        <v>1</v>
      </c>
      <c r="Y9" s="46">
        <v>21.3</v>
      </c>
      <c r="Z9" s="46">
        <v>33970.0</v>
      </c>
      <c r="AA9" s="46">
        <v>27.4</v>
      </c>
      <c r="AB9" s="46">
        <v>56.9</v>
      </c>
      <c r="AC9" s="45"/>
      <c r="AD9" s="46">
        <v>6.7</v>
      </c>
      <c r="AE9" s="46">
        <v>1.96</v>
      </c>
      <c r="AF9" s="46">
        <f t="shared" si="7"/>
        <v>0.98</v>
      </c>
      <c r="AG9" s="46">
        <v>22.3</v>
      </c>
      <c r="AH9" s="46">
        <v>6.8</v>
      </c>
      <c r="AI9" s="46">
        <v>2.49</v>
      </c>
      <c r="AJ9" s="46">
        <f t="shared" si="8"/>
        <v>1.245</v>
      </c>
      <c r="AK9" s="46">
        <v>22.3</v>
      </c>
      <c r="AL9" s="46">
        <v>7.2</v>
      </c>
      <c r="AM9" s="46">
        <v>1.99</v>
      </c>
      <c r="AN9" s="46">
        <f t="shared" si="9"/>
        <v>0.995</v>
      </c>
      <c r="AO9" s="46">
        <v>22.4</v>
      </c>
      <c r="AP9" s="46">
        <v>7.5</v>
      </c>
      <c r="AQ9" s="46">
        <v>1.06</v>
      </c>
      <c r="AR9" s="46">
        <f t="shared" si="10"/>
        <v>0.53</v>
      </c>
      <c r="AS9" s="46">
        <v>22.4</v>
      </c>
      <c r="AT9" s="46">
        <v>7.7</v>
      </c>
      <c r="AU9" s="46">
        <v>2.03</v>
      </c>
      <c r="AV9" s="46">
        <f t="shared" si="11"/>
        <v>1.015</v>
      </c>
      <c r="AW9" s="46">
        <v>26.9</v>
      </c>
      <c r="AX9" s="46">
        <v>7.7</v>
      </c>
      <c r="AY9" s="46">
        <v>1.99</v>
      </c>
      <c r="AZ9" s="46">
        <f t="shared" si="12"/>
        <v>0.995</v>
      </c>
      <c r="BA9" s="46">
        <v>23.6</v>
      </c>
      <c r="BB9" s="46">
        <v>33800.0</v>
      </c>
      <c r="BC9" s="46">
        <v>26.5</v>
      </c>
      <c r="BD9" s="46">
        <v>57.5</v>
      </c>
    </row>
    <row r="10">
      <c r="A10" s="48" t="s">
        <v>47</v>
      </c>
      <c r="B10" s="46">
        <v>6.6</v>
      </c>
      <c r="C10" s="46">
        <v>1.98</v>
      </c>
      <c r="D10" s="46">
        <f t="shared" si="1"/>
        <v>0.99</v>
      </c>
      <c r="E10" s="46">
        <v>20.8</v>
      </c>
      <c r="F10" s="46">
        <v>6.6</v>
      </c>
      <c r="G10" s="46">
        <v>1.56</v>
      </c>
      <c r="H10" s="46">
        <f t="shared" si="2"/>
        <v>0.78</v>
      </c>
      <c r="I10" s="46">
        <v>23.9</v>
      </c>
      <c r="J10" s="46">
        <v>7.1</v>
      </c>
      <c r="K10" s="46">
        <v>1.98</v>
      </c>
      <c r="L10" s="46">
        <f t="shared" si="3"/>
        <v>0.99</v>
      </c>
      <c r="M10" s="46">
        <v>20.4</v>
      </c>
      <c r="N10" s="46">
        <v>7.4</v>
      </c>
      <c r="O10" s="46">
        <v>1.97</v>
      </c>
      <c r="P10" s="46">
        <f t="shared" si="4"/>
        <v>0.985</v>
      </c>
      <c r="Q10" s="46">
        <v>20.4</v>
      </c>
      <c r="R10" s="46">
        <v>7.5</v>
      </c>
      <c r="S10" s="46">
        <v>2.02</v>
      </c>
      <c r="T10" s="46">
        <f t="shared" si="5"/>
        <v>1.01</v>
      </c>
      <c r="U10" s="46">
        <v>20.5</v>
      </c>
      <c r="V10" s="46">
        <v>7.6</v>
      </c>
      <c r="W10" s="46">
        <v>2.66</v>
      </c>
      <c r="X10" s="46">
        <f t="shared" si="6"/>
        <v>1.33</v>
      </c>
      <c r="Y10" s="46">
        <v>20.8</v>
      </c>
      <c r="Z10" s="46">
        <v>20880.0</v>
      </c>
      <c r="AA10" s="46">
        <v>26.5</v>
      </c>
      <c r="AB10" s="46">
        <v>72.8</v>
      </c>
      <c r="AC10" s="45"/>
      <c r="AD10" s="46">
        <v>6.8</v>
      </c>
      <c r="AE10" s="46">
        <v>2.54</v>
      </c>
      <c r="AF10" s="46">
        <f t="shared" si="7"/>
        <v>1.27</v>
      </c>
      <c r="AG10" s="46">
        <v>20.5</v>
      </c>
      <c r="AH10" s="46">
        <v>6.8</v>
      </c>
      <c r="AI10" s="46">
        <v>2.02</v>
      </c>
      <c r="AJ10" s="46">
        <f t="shared" si="8"/>
        <v>1.01</v>
      </c>
      <c r="AK10" s="46">
        <v>22.5</v>
      </c>
      <c r="AL10" s="46">
        <v>7.0</v>
      </c>
      <c r="AM10" s="46">
        <v>1.65</v>
      </c>
      <c r="AN10" s="46">
        <f t="shared" si="9"/>
        <v>0.825</v>
      </c>
      <c r="AO10" s="46">
        <v>22.2</v>
      </c>
      <c r="AP10" s="46">
        <v>7.3</v>
      </c>
      <c r="AQ10" s="46">
        <v>1.55</v>
      </c>
      <c r="AR10" s="46">
        <f t="shared" si="10"/>
        <v>0.775</v>
      </c>
      <c r="AS10" s="46">
        <v>22.2</v>
      </c>
      <c r="AT10" s="46">
        <v>7.5</v>
      </c>
      <c r="AU10" s="46">
        <v>1.6</v>
      </c>
      <c r="AV10" s="46">
        <f t="shared" si="11"/>
        <v>0.8</v>
      </c>
      <c r="AW10" s="46">
        <v>22.4</v>
      </c>
      <c r="AX10" s="46">
        <v>7.5</v>
      </c>
      <c r="AY10" s="46">
        <v>1.58</v>
      </c>
      <c r="AZ10" s="46">
        <f t="shared" si="12"/>
        <v>0.79</v>
      </c>
      <c r="BA10" s="46">
        <v>22.9</v>
      </c>
      <c r="BB10" s="46">
        <v>31580.0</v>
      </c>
      <c r="BC10" s="46">
        <v>30.2</v>
      </c>
      <c r="BD10" s="46">
        <v>61.9</v>
      </c>
    </row>
    <row r="11">
      <c r="A11" s="48" t="s">
        <v>48</v>
      </c>
      <c r="B11" s="46">
        <v>6.7</v>
      </c>
      <c r="C11" s="46">
        <v>1.56</v>
      </c>
      <c r="D11" s="46">
        <f t="shared" si="1"/>
        <v>0.78</v>
      </c>
      <c r="E11" s="46">
        <v>21.4</v>
      </c>
      <c r="F11" s="46">
        <v>6.7</v>
      </c>
      <c r="G11" s="46">
        <v>2.03</v>
      </c>
      <c r="H11" s="46">
        <f t="shared" si="2"/>
        <v>1.015</v>
      </c>
      <c r="I11" s="46">
        <v>20.7</v>
      </c>
      <c r="J11" s="46">
        <v>7.0</v>
      </c>
      <c r="K11" s="46">
        <v>1.57</v>
      </c>
      <c r="L11" s="46">
        <f t="shared" si="3"/>
        <v>0.785</v>
      </c>
      <c r="M11" s="46">
        <v>20.6</v>
      </c>
      <c r="N11" s="46">
        <v>7.3</v>
      </c>
      <c r="O11" s="46">
        <v>1.55</v>
      </c>
      <c r="P11" s="46">
        <f t="shared" si="4"/>
        <v>0.775</v>
      </c>
      <c r="Q11" s="46">
        <v>20.6</v>
      </c>
      <c r="R11" s="46">
        <v>7.4</v>
      </c>
      <c r="S11" s="46">
        <v>1.6</v>
      </c>
      <c r="T11" s="46">
        <f t="shared" si="5"/>
        <v>0.8</v>
      </c>
      <c r="U11" s="46">
        <v>20.8</v>
      </c>
      <c r="V11" s="46">
        <v>7.5</v>
      </c>
      <c r="W11" s="46">
        <v>1.58</v>
      </c>
      <c r="X11" s="46">
        <f t="shared" si="6"/>
        <v>0.79</v>
      </c>
      <c r="Y11" s="46">
        <v>21.2</v>
      </c>
      <c r="Z11" s="46">
        <v>13460.0</v>
      </c>
      <c r="AA11" s="46">
        <v>25.9</v>
      </c>
      <c r="AB11" s="46">
        <v>72.9</v>
      </c>
      <c r="AC11" s="45"/>
      <c r="AD11" s="46">
        <v>6.6</v>
      </c>
      <c r="AE11" s="46">
        <v>1.56</v>
      </c>
      <c r="AF11" s="46">
        <f t="shared" si="7"/>
        <v>0.78</v>
      </c>
      <c r="AG11" s="46">
        <v>22.4</v>
      </c>
      <c r="AH11" s="46">
        <v>6.7</v>
      </c>
      <c r="AI11" s="46">
        <v>2.03</v>
      </c>
      <c r="AJ11" s="46">
        <f t="shared" si="8"/>
        <v>1.015</v>
      </c>
      <c r="AK11" s="46">
        <v>22.6</v>
      </c>
      <c r="AL11" s="46">
        <v>7.0</v>
      </c>
      <c r="AM11" s="46">
        <v>1.55</v>
      </c>
      <c r="AN11" s="46">
        <f t="shared" si="9"/>
        <v>0.775</v>
      </c>
      <c r="AO11" s="46">
        <v>21.7</v>
      </c>
      <c r="AP11" s="46">
        <v>7.3</v>
      </c>
      <c r="AQ11" s="46">
        <v>1.55</v>
      </c>
      <c r="AR11" s="46">
        <f t="shared" si="10"/>
        <v>0.775</v>
      </c>
      <c r="AS11" s="46">
        <v>21.7</v>
      </c>
      <c r="AT11" s="46">
        <v>7.4</v>
      </c>
      <c r="AU11" s="46">
        <v>1.6</v>
      </c>
      <c r="AV11" s="46">
        <f t="shared" si="11"/>
        <v>0.8</v>
      </c>
      <c r="AW11" s="46">
        <v>21.8</v>
      </c>
      <c r="AX11" s="46">
        <v>7.5</v>
      </c>
      <c r="AY11" s="46">
        <v>1.57</v>
      </c>
      <c r="AZ11" s="46">
        <f t="shared" si="12"/>
        <v>0.785</v>
      </c>
      <c r="BA11" s="46">
        <v>22.5</v>
      </c>
      <c r="BB11" s="46">
        <v>27130.0</v>
      </c>
      <c r="BC11" s="46">
        <v>26.9</v>
      </c>
      <c r="BD11" s="46">
        <v>65.5</v>
      </c>
    </row>
    <row r="12">
      <c r="A12" s="48" t="s">
        <v>49</v>
      </c>
      <c r="B12" s="46">
        <v>6.3</v>
      </c>
      <c r="C12" s="46">
        <v>1.96</v>
      </c>
      <c r="D12" s="46">
        <f t="shared" si="1"/>
        <v>0.98</v>
      </c>
      <c r="E12" s="46">
        <v>22.2</v>
      </c>
      <c r="F12" s="46">
        <v>6.4</v>
      </c>
      <c r="G12" s="46">
        <v>2.54</v>
      </c>
      <c r="H12" s="46">
        <f t="shared" si="2"/>
        <v>1.27</v>
      </c>
      <c r="I12" s="46">
        <v>22.1</v>
      </c>
      <c r="J12" s="46">
        <v>6.8</v>
      </c>
      <c r="K12" s="46">
        <v>1.93</v>
      </c>
      <c r="L12" s="46">
        <f t="shared" si="3"/>
        <v>0.965</v>
      </c>
      <c r="M12" s="46">
        <v>22.0</v>
      </c>
      <c r="N12" s="46">
        <v>7.4</v>
      </c>
      <c r="O12" s="46">
        <v>1.96</v>
      </c>
      <c r="P12" s="46">
        <f t="shared" si="4"/>
        <v>0.98</v>
      </c>
      <c r="Q12" s="46">
        <v>22.0</v>
      </c>
      <c r="R12" s="46">
        <v>7.6</v>
      </c>
      <c r="S12" s="46">
        <v>1.96</v>
      </c>
      <c r="T12" s="46">
        <f t="shared" si="5"/>
        <v>0.98</v>
      </c>
      <c r="U12" s="46">
        <v>22.1</v>
      </c>
      <c r="V12" s="46">
        <v>7.7</v>
      </c>
      <c r="W12" s="46">
        <v>1.93</v>
      </c>
      <c r="X12" s="46">
        <f t="shared" si="6"/>
        <v>0.965</v>
      </c>
      <c r="Y12" s="46">
        <v>22.5</v>
      </c>
      <c r="Z12" s="46">
        <v>26430.0</v>
      </c>
      <c r="AA12" s="46">
        <v>25.4</v>
      </c>
      <c r="AB12" s="46">
        <v>69.4</v>
      </c>
      <c r="AC12" s="45"/>
      <c r="AD12" s="46">
        <v>6.3</v>
      </c>
      <c r="AE12" s="46">
        <v>1.96</v>
      </c>
      <c r="AF12" s="46">
        <f t="shared" si="7"/>
        <v>0.98</v>
      </c>
      <c r="AG12" s="46">
        <v>24.3</v>
      </c>
      <c r="AH12" s="46">
        <v>6.4</v>
      </c>
      <c r="AI12" s="46">
        <v>2.56</v>
      </c>
      <c r="AJ12" s="46">
        <f t="shared" si="8"/>
        <v>1.28</v>
      </c>
      <c r="AK12" s="46">
        <v>23.8</v>
      </c>
      <c r="AL12" s="46">
        <v>6.7</v>
      </c>
      <c r="AM12" s="46">
        <v>1.94</v>
      </c>
      <c r="AN12" s="46">
        <f t="shared" si="9"/>
        <v>0.97</v>
      </c>
      <c r="AO12" s="46">
        <v>23.6</v>
      </c>
      <c r="AP12" s="46">
        <v>7.4</v>
      </c>
      <c r="AQ12" s="46">
        <v>1.96</v>
      </c>
      <c r="AR12" s="46">
        <f t="shared" si="10"/>
        <v>0.98</v>
      </c>
      <c r="AS12" s="46">
        <v>23.6</v>
      </c>
      <c r="AT12" s="46">
        <v>7.5</v>
      </c>
      <c r="AU12" s="46">
        <v>1.95</v>
      </c>
      <c r="AV12" s="46">
        <f t="shared" si="11"/>
        <v>0.975</v>
      </c>
      <c r="AW12" s="46">
        <v>23.8</v>
      </c>
      <c r="AX12" s="46">
        <v>7.6</v>
      </c>
      <c r="AY12" s="46">
        <v>1.92</v>
      </c>
      <c r="AZ12" s="46">
        <f t="shared" si="12"/>
        <v>0.96</v>
      </c>
      <c r="BA12" s="46">
        <v>24.3</v>
      </c>
      <c r="BB12" s="46">
        <v>34660.0</v>
      </c>
      <c r="BC12" s="46">
        <v>27.0</v>
      </c>
      <c r="BD12" s="46">
        <v>65.3</v>
      </c>
    </row>
    <row r="13">
      <c r="A13" s="48" t="s">
        <v>50</v>
      </c>
      <c r="B13" s="46">
        <v>6.8</v>
      </c>
      <c r="C13" s="46">
        <v>1.93</v>
      </c>
      <c r="D13" s="46">
        <f t="shared" si="1"/>
        <v>0.965</v>
      </c>
      <c r="E13" s="46">
        <v>21.2</v>
      </c>
      <c r="F13" s="46">
        <v>6.9</v>
      </c>
      <c r="G13" s="46">
        <v>2.54</v>
      </c>
      <c r="H13" s="46">
        <f t="shared" si="2"/>
        <v>1.27</v>
      </c>
      <c r="I13" s="46">
        <v>21.0</v>
      </c>
      <c r="J13" s="46">
        <v>7.1</v>
      </c>
      <c r="K13" s="46">
        <v>1.96</v>
      </c>
      <c r="L13" s="46">
        <f t="shared" si="3"/>
        <v>0.98</v>
      </c>
      <c r="M13" s="46">
        <v>20.9</v>
      </c>
      <c r="N13" s="46">
        <v>7.7</v>
      </c>
      <c r="O13" s="46">
        <v>1.89</v>
      </c>
      <c r="P13" s="46">
        <f t="shared" si="4"/>
        <v>0.945</v>
      </c>
      <c r="Q13" s="46">
        <v>20.7</v>
      </c>
      <c r="R13" s="46">
        <v>7.9</v>
      </c>
      <c r="S13" s="46">
        <v>1.94</v>
      </c>
      <c r="T13" s="46">
        <f t="shared" si="5"/>
        <v>0.97</v>
      </c>
      <c r="U13" s="46">
        <v>26.9</v>
      </c>
      <c r="V13" s="46">
        <v>8.0</v>
      </c>
      <c r="W13" s="46">
        <v>1.91</v>
      </c>
      <c r="X13" s="46">
        <f t="shared" si="6"/>
        <v>0.955</v>
      </c>
      <c r="Y13" s="46">
        <v>21.2</v>
      </c>
      <c r="Z13" s="46">
        <v>28220.0</v>
      </c>
      <c r="AA13" s="46">
        <v>24.7</v>
      </c>
      <c r="AB13" s="46">
        <v>69.2</v>
      </c>
      <c r="AC13" s="45"/>
      <c r="AD13" s="46">
        <v>6.1</v>
      </c>
      <c r="AE13" s="46">
        <v>1.94</v>
      </c>
      <c r="AF13" s="46">
        <f t="shared" si="7"/>
        <v>0.97</v>
      </c>
      <c r="AG13" s="46">
        <v>23.0</v>
      </c>
      <c r="AH13" s="46">
        <v>6.3</v>
      </c>
      <c r="AI13" s="46">
        <v>2.53</v>
      </c>
      <c r="AJ13" s="46">
        <f t="shared" si="8"/>
        <v>1.265</v>
      </c>
      <c r="AK13" s="46">
        <v>22.6</v>
      </c>
      <c r="AL13" s="46">
        <v>6.5</v>
      </c>
      <c r="AM13" s="46">
        <v>1.97</v>
      </c>
      <c r="AN13" s="46">
        <f t="shared" si="9"/>
        <v>0.985</v>
      </c>
      <c r="AO13" s="46">
        <v>22.6</v>
      </c>
      <c r="AP13" s="46">
        <v>7.3</v>
      </c>
      <c r="AQ13" s="46">
        <v>1.88</v>
      </c>
      <c r="AR13" s="46">
        <f t="shared" si="10"/>
        <v>0.94</v>
      </c>
      <c r="AS13" s="46">
        <v>21.6</v>
      </c>
      <c r="AT13" s="46">
        <v>7.5</v>
      </c>
      <c r="AU13" s="46">
        <v>1.93</v>
      </c>
      <c r="AV13" s="46">
        <f t="shared" si="11"/>
        <v>0.965</v>
      </c>
      <c r="AW13" s="46">
        <v>22.1</v>
      </c>
      <c r="AX13" s="46">
        <v>7.6</v>
      </c>
      <c r="AY13" s="46">
        <v>1.9</v>
      </c>
      <c r="AZ13" s="46">
        <f t="shared" si="12"/>
        <v>0.95</v>
      </c>
      <c r="BA13" s="46">
        <v>22.5</v>
      </c>
      <c r="BB13" s="46">
        <v>30400.0</v>
      </c>
      <c r="BC13" s="46">
        <v>29.6</v>
      </c>
      <c r="BD13" s="46">
        <v>54.9</v>
      </c>
    </row>
    <row r="14">
      <c r="A14" s="48" t="s">
        <v>51</v>
      </c>
      <c r="B14" s="46">
        <v>6.1</v>
      </c>
      <c r="C14" s="46">
        <v>1.92</v>
      </c>
      <c r="D14" s="46">
        <f t="shared" si="1"/>
        <v>0.96</v>
      </c>
      <c r="E14" s="46">
        <v>19.9</v>
      </c>
      <c r="F14" s="46">
        <v>6.3</v>
      </c>
      <c r="G14" s="46">
        <v>2.5</v>
      </c>
      <c r="H14" s="46">
        <f t="shared" si="2"/>
        <v>1.25</v>
      </c>
      <c r="I14" s="46">
        <v>19.7</v>
      </c>
      <c r="J14" s="46">
        <v>6.5</v>
      </c>
      <c r="K14" s="46">
        <v>1.94</v>
      </c>
      <c r="L14" s="46">
        <f t="shared" si="3"/>
        <v>0.97</v>
      </c>
      <c r="M14" s="46">
        <v>19.5</v>
      </c>
      <c r="N14" s="46">
        <v>7.3</v>
      </c>
      <c r="O14" s="46">
        <v>1.87</v>
      </c>
      <c r="P14" s="46">
        <f t="shared" si="4"/>
        <v>0.935</v>
      </c>
      <c r="Q14" s="46">
        <v>19.6</v>
      </c>
      <c r="R14" s="46">
        <v>7.4</v>
      </c>
      <c r="S14" s="46">
        <v>1.93</v>
      </c>
      <c r="T14" s="46">
        <f t="shared" si="5"/>
        <v>0.965</v>
      </c>
      <c r="U14" s="46">
        <v>19.6</v>
      </c>
      <c r="V14" s="46">
        <v>7.5</v>
      </c>
      <c r="W14" s="46">
        <v>1.9</v>
      </c>
      <c r="X14" s="46">
        <f t="shared" si="6"/>
        <v>0.95</v>
      </c>
      <c r="Y14" s="46">
        <v>20.1</v>
      </c>
      <c r="Z14" s="46">
        <v>27020.0</v>
      </c>
      <c r="AA14" s="46">
        <v>25.9</v>
      </c>
      <c r="AB14" s="46">
        <v>57.4</v>
      </c>
      <c r="AC14" s="45"/>
      <c r="AD14" s="46">
        <v>5.7</v>
      </c>
      <c r="AE14" s="46">
        <v>1.96</v>
      </c>
      <c r="AF14" s="46">
        <f t="shared" si="7"/>
        <v>0.98</v>
      </c>
      <c r="AG14" s="46">
        <v>22.5</v>
      </c>
      <c r="AH14" s="46">
        <v>6.0</v>
      </c>
      <c r="AI14" s="46">
        <v>2.55</v>
      </c>
      <c r="AJ14" s="46">
        <f t="shared" si="8"/>
        <v>1.275</v>
      </c>
      <c r="AK14" s="46">
        <v>21.9</v>
      </c>
      <c r="AL14" s="46">
        <v>6.3</v>
      </c>
      <c r="AM14" s="46">
        <v>1.96</v>
      </c>
      <c r="AN14" s="46">
        <f t="shared" si="9"/>
        <v>0.98</v>
      </c>
      <c r="AO14" s="46">
        <v>21.6</v>
      </c>
      <c r="AP14" s="46">
        <v>7.2</v>
      </c>
      <c r="AQ14" s="46">
        <v>1.89</v>
      </c>
      <c r="AR14" s="46">
        <f t="shared" si="10"/>
        <v>0.945</v>
      </c>
      <c r="AS14" s="46">
        <v>21.6</v>
      </c>
      <c r="AT14" s="46">
        <v>7.3</v>
      </c>
      <c r="AU14" s="46">
        <v>1.94</v>
      </c>
      <c r="AV14" s="46">
        <f t="shared" si="11"/>
        <v>0.97</v>
      </c>
      <c r="AW14" s="46">
        <v>21.8</v>
      </c>
      <c r="AX14" s="46">
        <v>7.4</v>
      </c>
      <c r="AY14" s="46">
        <v>1.91</v>
      </c>
      <c r="AZ14" s="46">
        <f t="shared" si="12"/>
        <v>0.955</v>
      </c>
      <c r="BA14" s="46">
        <v>22.2</v>
      </c>
      <c r="BB14" s="46">
        <v>31560.0</v>
      </c>
      <c r="BC14" s="46">
        <v>25.5</v>
      </c>
      <c r="BD14" s="46">
        <v>68.1</v>
      </c>
    </row>
    <row r="15">
      <c r="A15" s="48" t="s">
        <v>52</v>
      </c>
      <c r="B15" s="46">
        <v>5.8</v>
      </c>
      <c r="C15" s="46">
        <v>1.99</v>
      </c>
      <c r="D15" s="46">
        <f t="shared" si="1"/>
        <v>0.995</v>
      </c>
      <c r="E15" s="46">
        <v>19.7</v>
      </c>
      <c r="F15" s="46">
        <v>5.9</v>
      </c>
      <c r="G15" s="46">
        <v>2.58</v>
      </c>
      <c r="H15" s="46">
        <f t="shared" si="2"/>
        <v>1.29</v>
      </c>
      <c r="I15" s="46">
        <v>19.2</v>
      </c>
      <c r="J15" s="46">
        <v>6.2</v>
      </c>
      <c r="K15" s="46">
        <v>1.99</v>
      </c>
      <c r="L15" s="46">
        <f t="shared" si="3"/>
        <v>0.995</v>
      </c>
      <c r="M15" s="46">
        <v>19.1</v>
      </c>
      <c r="N15" s="46">
        <v>7.1</v>
      </c>
      <c r="O15" s="46">
        <v>1.93</v>
      </c>
      <c r="P15" s="46">
        <f t="shared" si="4"/>
        <v>0.965</v>
      </c>
      <c r="Q15" s="46">
        <v>19.0</v>
      </c>
      <c r="R15" s="46">
        <v>7.3</v>
      </c>
      <c r="S15" s="46">
        <v>1.98</v>
      </c>
      <c r="T15" s="46">
        <f t="shared" si="5"/>
        <v>0.99</v>
      </c>
      <c r="U15" s="46">
        <v>19.1</v>
      </c>
      <c r="V15" s="46">
        <v>7.4</v>
      </c>
      <c r="W15" s="46">
        <v>1.94</v>
      </c>
      <c r="X15" s="46">
        <f t="shared" si="6"/>
        <v>0.97</v>
      </c>
      <c r="Y15" s="46">
        <v>19.6</v>
      </c>
      <c r="Z15" s="46">
        <v>8869.0</v>
      </c>
      <c r="AA15" s="46">
        <v>24.0</v>
      </c>
      <c r="AB15" s="46">
        <v>64.1</v>
      </c>
      <c r="AC15" s="45"/>
      <c r="AD15" s="46">
        <v>5.9</v>
      </c>
      <c r="AE15" s="46">
        <v>1.96</v>
      </c>
      <c r="AF15" s="46">
        <f t="shared" si="7"/>
        <v>0.98</v>
      </c>
      <c r="AG15" s="46">
        <v>22.1</v>
      </c>
      <c r="AH15" s="46">
        <v>6.6</v>
      </c>
      <c r="AI15" s="46">
        <v>2.59</v>
      </c>
      <c r="AJ15" s="46">
        <f t="shared" si="8"/>
        <v>1.295</v>
      </c>
      <c r="AK15" s="46">
        <v>21.5</v>
      </c>
      <c r="AL15" s="46">
        <v>6.2</v>
      </c>
      <c r="AM15" s="46">
        <v>2.66</v>
      </c>
      <c r="AN15" s="46">
        <f t="shared" si="9"/>
        <v>1.33</v>
      </c>
      <c r="AO15" s="46">
        <v>21.1</v>
      </c>
      <c r="AP15" s="46">
        <v>7.2</v>
      </c>
      <c r="AQ15" s="46">
        <v>1.92</v>
      </c>
      <c r="AR15" s="46">
        <f t="shared" si="10"/>
        <v>0.96</v>
      </c>
      <c r="AS15" s="46">
        <v>21.1</v>
      </c>
      <c r="AT15" s="46">
        <v>7.3</v>
      </c>
      <c r="AU15" s="46">
        <v>1.98</v>
      </c>
      <c r="AV15" s="46">
        <f t="shared" si="11"/>
        <v>0.99</v>
      </c>
      <c r="AW15" s="46">
        <v>21.3</v>
      </c>
      <c r="AX15" s="46">
        <v>7.4</v>
      </c>
      <c r="AY15" s="46">
        <v>1.93</v>
      </c>
      <c r="AZ15" s="46">
        <f t="shared" si="12"/>
        <v>0.965</v>
      </c>
      <c r="BA15" s="46">
        <v>22.0</v>
      </c>
      <c r="BB15" s="46">
        <v>33350.0</v>
      </c>
      <c r="BC15" s="46">
        <v>25.9</v>
      </c>
      <c r="BD15" s="46">
        <v>67.6</v>
      </c>
    </row>
    <row r="16">
      <c r="A16" s="48" t="s">
        <v>53</v>
      </c>
      <c r="B16" s="46">
        <v>5.9</v>
      </c>
      <c r="C16" s="46">
        <v>1.97</v>
      </c>
      <c r="D16" s="46">
        <f t="shared" si="1"/>
        <v>0.985</v>
      </c>
      <c r="E16" s="46">
        <v>21.3</v>
      </c>
      <c r="F16" s="46">
        <v>6.0</v>
      </c>
      <c r="G16" s="46">
        <v>2.58</v>
      </c>
      <c r="H16" s="46">
        <f t="shared" si="2"/>
        <v>1.29</v>
      </c>
      <c r="I16" s="46">
        <v>20.7</v>
      </c>
      <c r="J16" s="46">
        <v>6.1</v>
      </c>
      <c r="K16" s="46">
        <v>1.99</v>
      </c>
      <c r="L16" s="46">
        <f t="shared" si="3"/>
        <v>0.995</v>
      </c>
      <c r="M16" s="46">
        <v>20.2</v>
      </c>
      <c r="N16" s="46">
        <v>7.2</v>
      </c>
      <c r="O16" s="46">
        <v>1.92</v>
      </c>
      <c r="P16" s="46">
        <f t="shared" si="4"/>
        <v>0.96</v>
      </c>
      <c r="Q16" s="46">
        <v>20.1</v>
      </c>
      <c r="R16" s="46">
        <v>7.3</v>
      </c>
      <c r="S16" s="46">
        <v>1.97</v>
      </c>
      <c r="T16" s="46">
        <f t="shared" si="5"/>
        <v>0.985</v>
      </c>
      <c r="U16" s="46">
        <v>20.2</v>
      </c>
      <c r="V16" s="46">
        <v>7.4</v>
      </c>
      <c r="W16" s="46">
        <v>1.93</v>
      </c>
      <c r="X16" s="46">
        <f t="shared" si="6"/>
        <v>0.965</v>
      </c>
      <c r="Y16" s="46">
        <v>20.8</v>
      </c>
      <c r="Z16" s="46">
        <v>32290.0</v>
      </c>
      <c r="AA16" s="46">
        <v>25.8</v>
      </c>
      <c r="AB16" s="46">
        <v>63.1</v>
      </c>
      <c r="AC16" s="45"/>
      <c r="AD16" s="46">
        <v>6.9</v>
      </c>
      <c r="AE16" s="46">
        <v>1.94</v>
      </c>
      <c r="AF16" s="46">
        <f t="shared" si="7"/>
        <v>0.97</v>
      </c>
      <c r="AG16" s="46">
        <v>21.2</v>
      </c>
      <c r="AH16" s="46">
        <v>6.2</v>
      </c>
      <c r="AI16" s="46">
        <v>2.52</v>
      </c>
      <c r="AJ16" s="46">
        <f t="shared" si="8"/>
        <v>1.26</v>
      </c>
      <c r="AK16" s="46">
        <v>21.5</v>
      </c>
      <c r="AL16" s="46">
        <v>6.2</v>
      </c>
      <c r="AM16" s="46">
        <v>2.0</v>
      </c>
      <c r="AN16" s="46">
        <f t="shared" si="9"/>
        <v>1</v>
      </c>
      <c r="AO16" s="46">
        <v>21.4</v>
      </c>
      <c r="AP16" s="46">
        <v>7.2</v>
      </c>
      <c r="AQ16" s="46">
        <v>1.92</v>
      </c>
      <c r="AR16" s="46">
        <f t="shared" si="10"/>
        <v>0.96</v>
      </c>
      <c r="AS16" s="46">
        <v>21.5</v>
      </c>
      <c r="AT16" s="46">
        <v>7.1</v>
      </c>
      <c r="AU16" s="46">
        <v>1.94</v>
      </c>
      <c r="AV16" s="46">
        <f t="shared" si="11"/>
        <v>0.97</v>
      </c>
      <c r="AW16" s="46">
        <v>21.6</v>
      </c>
      <c r="AX16" s="46">
        <v>7.3</v>
      </c>
      <c r="AY16" s="46">
        <v>1.96</v>
      </c>
      <c r="AZ16" s="46">
        <f t="shared" si="12"/>
        <v>0.98</v>
      </c>
      <c r="BA16" s="46">
        <v>21.8</v>
      </c>
      <c r="BB16" s="46">
        <v>13070.0</v>
      </c>
      <c r="BC16" s="46">
        <v>28.1</v>
      </c>
      <c r="BD16" s="46">
        <v>64.5</v>
      </c>
    </row>
    <row r="17">
      <c r="A17" s="48" t="s">
        <v>54</v>
      </c>
      <c r="B17" s="46">
        <v>5.9</v>
      </c>
      <c r="C17" s="46">
        <v>1.6</v>
      </c>
      <c r="D17" s="46">
        <f t="shared" si="1"/>
        <v>0.8</v>
      </c>
      <c r="E17" s="46">
        <v>21.2</v>
      </c>
      <c r="F17" s="46">
        <v>6.1</v>
      </c>
      <c r="G17" s="46">
        <v>2.56</v>
      </c>
      <c r="H17" s="46">
        <f t="shared" si="2"/>
        <v>1.28</v>
      </c>
      <c r="I17" s="46">
        <v>21.0</v>
      </c>
      <c r="J17" s="46">
        <v>6.0</v>
      </c>
      <c r="K17" s="46">
        <v>1.97</v>
      </c>
      <c r="L17" s="46">
        <f t="shared" si="3"/>
        <v>0.985</v>
      </c>
      <c r="M17" s="46">
        <v>20.2</v>
      </c>
      <c r="N17" s="46">
        <v>7.1</v>
      </c>
      <c r="O17" s="46">
        <v>1.9</v>
      </c>
      <c r="P17" s="46">
        <f t="shared" si="4"/>
        <v>0.95</v>
      </c>
      <c r="Q17" s="46">
        <v>20.0</v>
      </c>
      <c r="R17" s="46">
        <v>7.3</v>
      </c>
      <c r="S17" s="46">
        <v>1.95</v>
      </c>
      <c r="T17" s="46">
        <f t="shared" si="5"/>
        <v>0.975</v>
      </c>
      <c r="U17" s="46">
        <v>20.1</v>
      </c>
      <c r="V17" s="46">
        <v>7.2</v>
      </c>
      <c r="W17" s="46">
        <v>1.91</v>
      </c>
      <c r="X17" s="46">
        <f t="shared" si="6"/>
        <v>0.955</v>
      </c>
      <c r="Y17" s="46">
        <v>20.6</v>
      </c>
      <c r="Z17" s="46">
        <v>2992.0</v>
      </c>
      <c r="AA17" s="46">
        <v>26.9</v>
      </c>
      <c r="AB17" s="46">
        <v>77.5</v>
      </c>
      <c r="AC17" s="45"/>
      <c r="AD17" s="46">
        <v>6.0</v>
      </c>
      <c r="AE17" s="46">
        <v>1.92</v>
      </c>
      <c r="AF17" s="46">
        <f t="shared" si="7"/>
        <v>0.96</v>
      </c>
      <c r="AG17" s="46">
        <v>22.2</v>
      </c>
      <c r="AH17" s="46">
        <v>6.1</v>
      </c>
      <c r="AI17" s="46">
        <v>2.51</v>
      </c>
      <c r="AJ17" s="46">
        <f t="shared" si="8"/>
        <v>1.255</v>
      </c>
      <c r="AK17" s="46">
        <v>22.2</v>
      </c>
      <c r="AL17" s="46">
        <v>6.2</v>
      </c>
      <c r="AM17" s="46">
        <v>2.1</v>
      </c>
      <c r="AN17" s="46">
        <f t="shared" si="9"/>
        <v>1.05</v>
      </c>
      <c r="AO17" s="46">
        <v>22.0</v>
      </c>
      <c r="AP17" s="46">
        <v>7.1</v>
      </c>
      <c r="AQ17" s="46">
        <v>1.9</v>
      </c>
      <c r="AR17" s="46">
        <f t="shared" si="10"/>
        <v>0.95</v>
      </c>
      <c r="AS17" s="46">
        <v>22.1</v>
      </c>
      <c r="AT17" s="46">
        <v>7.2</v>
      </c>
      <c r="AU17" s="46">
        <v>1.91</v>
      </c>
      <c r="AV17" s="46">
        <f t="shared" si="11"/>
        <v>0.955</v>
      </c>
      <c r="AW17" s="46">
        <v>22.1</v>
      </c>
      <c r="AX17" s="46">
        <v>7.2</v>
      </c>
      <c r="AY17" s="46">
        <v>1.95</v>
      </c>
      <c r="AZ17" s="46">
        <f t="shared" si="12"/>
        <v>0.975</v>
      </c>
      <c r="BA17" s="46">
        <v>22.2</v>
      </c>
      <c r="BB17" s="46">
        <v>24360.0</v>
      </c>
      <c r="BC17" s="46">
        <v>27.5</v>
      </c>
      <c r="BD17" s="46">
        <v>68.8</v>
      </c>
    </row>
    <row r="18">
      <c r="A18" s="48" t="s">
        <v>55</v>
      </c>
      <c r="B18" s="46">
        <v>6.3</v>
      </c>
      <c r="C18" s="46">
        <v>1.87</v>
      </c>
      <c r="D18" s="46">
        <f t="shared" si="1"/>
        <v>0.935</v>
      </c>
      <c r="E18" s="46">
        <v>21.1</v>
      </c>
      <c r="F18" s="46">
        <v>6.4</v>
      </c>
      <c r="G18" s="46">
        <v>2.48</v>
      </c>
      <c r="H18" s="46">
        <f t="shared" si="2"/>
        <v>1.24</v>
      </c>
      <c r="I18" s="46">
        <v>21.0</v>
      </c>
      <c r="J18" s="46">
        <v>6.5</v>
      </c>
      <c r="K18" s="46">
        <v>1.98</v>
      </c>
      <c r="L18" s="46">
        <f t="shared" si="3"/>
        <v>0.99</v>
      </c>
      <c r="M18" s="46">
        <v>20.9</v>
      </c>
      <c r="N18" s="46">
        <v>7.1</v>
      </c>
      <c r="O18" s="46">
        <v>1.9</v>
      </c>
      <c r="P18" s="46">
        <f t="shared" si="4"/>
        <v>0.95</v>
      </c>
      <c r="Q18" s="46">
        <v>20.8</v>
      </c>
      <c r="R18" s="46">
        <v>7.3</v>
      </c>
      <c r="S18" s="46">
        <v>1.95</v>
      </c>
      <c r="T18" s="46">
        <f t="shared" si="5"/>
        <v>0.975</v>
      </c>
      <c r="U18" s="46">
        <v>20.8</v>
      </c>
      <c r="V18" s="46">
        <v>7.4</v>
      </c>
      <c r="W18" s="46">
        <v>1.91</v>
      </c>
      <c r="X18" s="46">
        <f t="shared" si="6"/>
        <v>0.955</v>
      </c>
      <c r="Y18" s="46">
        <v>21.3</v>
      </c>
      <c r="Z18" s="46">
        <v>2670.0</v>
      </c>
      <c r="AA18" s="46">
        <v>25.9</v>
      </c>
      <c r="AB18" s="46">
        <v>60.4</v>
      </c>
      <c r="AC18" s="45"/>
      <c r="AD18" s="46">
        <v>6.4</v>
      </c>
      <c r="AE18" s="46">
        <v>1.81</v>
      </c>
      <c r="AF18" s="46">
        <f t="shared" si="7"/>
        <v>0.905</v>
      </c>
      <c r="AG18" s="46">
        <v>22.9</v>
      </c>
      <c r="AH18" s="46">
        <v>6.5</v>
      </c>
      <c r="AI18" s="46">
        <v>2.47</v>
      </c>
      <c r="AJ18" s="46">
        <f t="shared" si="8"/>
        <v>1.235</v>
      </c>
      <c r="AK18" s="46">
        <v>22.9</v>
      </c>
      <c r="AL18" s="46">
        <v>6.8</v>
      </c>
      <c r="AM18" s="46">
        <v>1.99</v>
      </c>
      <c r="AN18" s="46">
        <f t="shared" si="9"/>
        <v>0.995</v>
      </c>
      <c r="AO18" s="46">
        <v>22.8</v>
      </c>
      <c r="AP18" s="46">
        <v>7.1</v>
      </c>
      <c r="AQ18" s="46">
        <v>1.87</v>
      </c>
      <c r="AR18" s="46">
        <f t="shared" si="10"/>
        <v>0.935</v>
      </c>
      <c r="AS18" s="46">
        <v>22.8</v>
      </c>
      <c r="AT18" s="46">
        <v>7.2</v>
      </c>
      <c r="AU18" s="46">
        <v>1.86</v>
      </c>
      <c r="AV18" s="46">
        <f t="shared" si="11"/>
        <v>0.93</v>
      </c>
      <c r="AW18" s="46">
        <v>22.9</v>
      </c>
      <c r="AX18" s="46">
        <v>7.4</v>
      </c>
      <c r="AY18" s="46">
        <v>1.86</v>
      </c>
      <c r="AZ18" s="46">
        <f t="shared" si="12"/>
        <v>0.93</v>
      </c>
      <c r="BA18" s="46">
        <v>23.9</v>
      </c>
      <c r="BB18" s="46">
        <v>33270.0</v>
      </c>
      <c r="BC18" s="46">
        <v>30.6</v>
      </c>
      <c r="BD18" s="46">
        <v>60.2</v>
      </c>
    </row>
    <row r="19">
      <c r="A19" s="48" t="s">
        <v>56</v>
      </c>
      <c r="B19" s="46">
        <v>6.5</v>
      </c>
      <c r="C19" s="46">
        <v>1.77</v>
      </c>
      <c r="D19" s="46">
        <f t="shared" si="1"/>
        <v>0.885</v>
      </c>
      <c r="E19" s="46">
        <v>21.4</v>
      </c>
      <c r="F19" s="46">
        <v>6.6</v>
      </c>
      <c r="G19" s="46">
        <v>2.4</v>
      </c>
      <c r="H19" s="46">
        <f t="shared" si="2"/>
        <v>1.2</v>
      </c>
      <c r="I19" s="46">
        <v>21.3</v>
      </c>
      <c r="J19" s="46">
        <v>6.7</v>
      </c>
      <c r="K19" s="46">
        <v>1.93</v>
      </c>
      <c r="L19" s="46">
        <f t="shared" si="3"/>
        <v>0.965</v>
      </c>
      <c r="M19" s="46">
        <v>21.2</v>
      </c>
      <c r="N19" s="46">
        <v>7.2</v>
      </c>
      <c r="O19" s="46">
        <v>1.83</v>
      </c>
      <c r="P19" s="46">
        <f t="shared" si="4"/>
        <v>0.915</v>
      </c>
      <c r="Q19" s="46">
        <v>21.2</v>
      </c>
      <c r="R19" s="46">
        <v>7.3</v>
      </c>
      <c r="S19" s="46">
        <v>1.88</v>
      </c>
      <c r="T19" s="46">
        <f t="shared" si="5"/>
        <v>0.94</v>
      </c>
      <c r="U19" s="46">
        <v>21.0</v>
      </c>
      <c r="V19" s="46">
        <v>7.5</v>
      </c>
      <c r="W19" s="46">
        <v>1.85</v>
      </c>
      <c r="X19" s="46">
        <f t="shared" si="6"/>
        <v>0.925</v>
      </c>
      <c r="Y19" s="46">
        <v>21.6</v>
      </c>
      <c r="Z19" s="46">
        <v>26420.0</v>
      </c>
      <c r="AA19" s="46">
        <v>26.2</v>
      </c>
      <c r="AB19" s="46">
        <v>64.5</v>
      </c>
      <c r="AC19" s="45"/>
      <c r="AD19" s="46">
        <v>6.6</v>
      </c>
      <c r="AE19" s="46">
        <v>1.75</v>
      </c>
      <c r="AF19" s="46">
        <f t="shared" si="7"/>
        <v>0.875</v>
      </c>
      <c r="AG19" s="46">
        <v>23.8</v>
      </c>
      <c r="AH19" s="46">
        <v>6.5</v>
      </c>
      <c r="AI19" s="46">
        <v>2.41</v>
      </c>
      <c r="AJ19" s="46">
        <f t="shared" si="8"/>
        <v>1.205</v>
      </c>
      <c r="AK19" s="46">
        <v>23.5</v>
      </c>
      <c r="AL19" s="46">
        <v>6.7</v>
      </c>
      <c r="AM19" s="46">
        <v>1.92</v>
      </c>
      <c r="AN19" s="46">
        <f t="shared" si="9"/>
        <v>0.96</v>
      </c>
      <c r="AO19" s="46">
        <v>23.0</v>
      </c>
      <c r="AP19" s="46">
        <v>7.3</v>
      </c>
      <c r="AQ19" s="46">
        <v>1.82</v>
      </c>
      <c r="AR19" s="46">
        <f t="shared" si="10"/>
        <v>0.91</v>
      </c>
      <c r="AS19" s="46">
        <v>23.1</v>
      </c>
      <c r="AT19" s="46">
        <v>7.3</v>
      </c>
      <c r="AU19" s="46">
        <v>1.87</v>
      </c>
      <c r="AV19" s="46">
        <f t="shared" si="11"/>
        <v>0.935</v>
      </c>
      <c r="AW19" s="46">
        <v>23.2</v>
      </c>
      <c r="AX19" s="46">
        <v>7.4</v>
      </c>
      <c r="AY19" s="46">
        <v>1.86</v>
      </c>
      <c r="AZ19" s="46">
        <f t="shared" si="12"/>
        <v>0.93</v>
      </c>
      <c r="BA19" s="46">
        <v>23.6</v>
      </c>
      <c r="BB19" s="46">
        <v>13450.0</v>
      </c>
      <c r="BC19" s="46">
        <v>32.8</v>
      </c>
      <c r="BD19" s="46">
        <v>52.9</v>
      </c>
    </row>
    <row r="20">
      <c r="A20" s="48" t="s">
        <v>57</v>
      </c>
      <c r="B20" s="46">
        <v>7.1</v>
      </c>
      <c r="C20" s="46">
        <v>1.76</v>
      </c>
      <c r="D20" s="46">
        <f t="shared" si="1"/>
        <v>0.88</v>
      </c>
      <c r="E20" s="46">
        <v>21.1</v>
      </c>
      <c r="F20" s="46">
        <v>6.9</v>
      </c>
      <c r="G20" s="46">
        <v>2.43</v>
      </c>
      <c r="H20" s="46">
        <f t="shared" si="2"/>
        <v>1.215</v>
      </c>
      <c r="I20" s="46">
        <v>21.0</v>
      </c>
      <c r="J20" s="46">
        <v>6.9</v>
      </c>
      <c r="K20" s="46">
        <v>1.93</v>
      </c>
      <c r="L20" s="46">
        <f t="shared" si="3"/>
        <v>0.965</v>
      </c>
      <c r="M20" s="46">
        <v>20.9</v>
      </c>
      <c r="N20" s="46">
        <v>7.3</v>
      </c>
      <c r="O20" s="46">
        <v>1.82</v>
      </c>
      <c r="P20" s="46">
        <f t="shared" si="4"/>
        <v>0.91</v>
      </c>
      <c r="Q20" s="46">
        <v>20.9</v>
      </c>
      <c r="R20" s="46">
        <v>7.4</v>
      </c>
      <c r="S20" s="46">
        <v>1.8</v>
      </c>
      <c r="T20" s="46">
        <f t="shared" si="5"/>
        <v>0.9</v>
      </c>
      <c r="U20" s="46">
        <v>20.8</v>
      </c>
      <c r="V20" s="46">
        <v>7.5</v>
      </c>
      <c r="W20" s="46">
        <v>1.84</v>
      </c>
      <c r="X20" s="46">
        <f t="shared" si="6"/>
        <v>0.92</v>
      </c>
      <c r="Y20" s="46">
        <v>21.4</v>
      </c>
      <c r="Z20" s="44" t="s">
        <v>41</v>
      </c>
      <c r="AA20" s="44" t="s">
        <v>41</v>
      </c>
      <c r="AB20" s="44" t="s">
        <v>41</v>
      </c>
      <c r="AC20" s="45"/>
      <c r="AD20" s="46">
        <v>7.0</v>
      </c>
      <c r="AE20" s="46">
        <v>1.77</v>
      </c>
      <c r="AF20" s="46">
        <f t="shared" si="7"/>
        <v>0.885</v>
      </c>
      <c r="AG20" s="46">
        <v>24.5</v>
      </c>
      <c r="AH20" s="46">
        <v>6.8</v>
      </c>
      <c r="AI20" s="46">
        <v>2.42</v>
      </c>
      <c r="AJ20" s="46">
        <f t="shared" si="8"/>
        <v>1.21</v>
      </c>
      <c r="AK20" s="46">
        <v>23.0</v>
      </c>
      <c r="AL20" s="46">
        <v>6.9</v>
      </c>
      <c r="AM20" s="46">
        <v>1.93</v>
      </c>
      <c r="AN20" s="46">
        <f t="shared" si="9"/>
        <v>0.965</v>
      </c>
      <c r="AO20" s="46">
        <v>24.0</v>
      </c>
      <c r="AP20" s="46">
        <v>7.4</v>
      </c>
      <c r="AQ20" s="46">
        <v>1.81</v>
      </c>
      <c r="AR20" s="46">
        <f t="shared" si="10"/>
        <v>0.905</v>
      </c>
      <c r="AS20" s="46">
        <v>24.0</v>
      </c>
      <c r="AT20" s="46">
        <v>7.3</v>
      </c>
      <c r="AU20" s="46">
        <v>1.79</v>
      </c>
      <c r="AV20" s="46">
        <f t="shared" si="11"/>
        <v>0.895</v>
      </c>
      <c r="AW20" s="46">
        <v>24.0</v>
      </c>
      <c r="AX20" s="46">
        <v>7.4</v>
      </c>
      <c r="AY20" s="46">
        <v>1.85</v>
      </c>
      <c r="AZ20" s="46">
        <f t="shared" si="12"/>
        <v>0.925</v>
      </c>
      <c r="BA20" s="46">
        <v>24.3</v>
      </c>
      <c r="BB20" s="46">
        <v>3265.0</v>
      </c>
      <c r="BC20" s="46">
        <v>30.3</v>
      </c>
      <c r="BD20" s="46">
        <v>53.6</v>
      </c>
    </row>
    <row r="21">
      <c r="A21" s="48" t="s">
        <v>58</v>
      </c>
      <c r="B21" s="46">
        <v>7.0</v>
      </c>
      <c r="C21" s="46">
        <v>1.75</v>
      </c>
      <c r="D21" s="46">
        <f t="shared" si="1"/>
        <v>0.875</v>
      </c>
      <c r="E21" s="46">
        <v>21.3</v>
      </c>
      <c r="F21" s="46">
        <v>6.8</v>
      </c>
      <c r="G21" s="46">
        <v>2.41</v>
      </c>
      <c r="H21" s="46">
        <f t="shared" si="2"/>
        <v>1.205</v>
      </c>
      <c r="I21" s="46">
        <v>21.1</v>
      </c>
      <c r="J21" s="46">
        <v>6.9</v>
      </c>
      <c r="K21" s="46">
        <v>1.91</v>
      </c>
      <c r="L21" s="46">
        <f t="shared" si="3"/>
        <v>0.955</v>
      </c>
      <c r="M21" s="46">
        <v>20.8</v>
      </c>
      <c r="N21" s="46">
        <v>7.3</v>
      </c>
      <c r="O21" s="46">
        <v>1.8</v>
      </c>
      <c r="P21" s="46">
        <f t="shared" si="4"/>
        <v>0.9</v>
      </c>
      <c r="Q21" s="46">
        <v>20.6</v>
      </c>
      <c r="R21" s="46">
        <v>7.4</v>
      </c>
      <c r="S21" s="46">
        <v>1.81</v>
      </c>
      <c r="T21" s="46">
        <f t="shared" si="5"/>
        <v>0.905</v>
      </c>
      <c r="U21" s="46">
        <v>20.7</v>
      </c>
      <c r="V21" s="46">
        <v>7.5</v>
      </c>
      <c r="W21" s="46">
        <v>1.83</v>
      </c>
      <c r="X21" s="46">
        <f t="shared" si="6"/>
        <v>0.915</v>
      </c>
      <c r="Y21" s="46">
        <v>21.3</v>
      </c>
      <c r="Z21" s="46">
        <v>28220.0</v>
      </c>
      <c r="AA21" s="46">
        <v>25.7</v>
      </c>
      <c r="AB21" s="46">
        <v>69.2</v>
      </c>
      <c r="AC21" s="45"/>
      <c r="AD21" s="46">
        <v>7.2</v>
      </c>
      <c r="AE21" s="46">
        <v>1.66</v>
      </c>
      <c r="AF21" s="46">
        <f t="shared" si="7"/>
        <v>0.83</v>
      </c>
      <c r="AG21" s="46">
        <v>25.3</v>
      </c>
      <c r="AH21" s="46">
        <v>7.1</v>
      </c>
      <c r="AI21" s="46">
        <v>2.3</v>
      </c>
      <c r="AJ21" s="46">
        <f t="shared" si="8"/>
        <v>1.15</v>
      </c>
      <c r="AK21" s="46">
        <v>24.7</v>
      </c>
      <c r="AL21" s="46">
        <v>7.2</v>
      </c>
      <c r="AM21" s="46">
        <v>1.8</v>
      </c>
      <c r="AN21" s="46">
        <f t="shared" si="9"/>
        <v>0.9</v>
      </c>
      <c r="AO21" s="46">
        <v>24.3</v>
      </c>
      <c r="AP21" s="46">
        <v>7.5</v>
      </c>
      <c r="AQ21" s="46">
        <v>1.76</v>
      </c>
      <c r="AR21" s="46">
        <f t="shared" si="10"/>
        <v>0.88</v>
      </c>
      <c r="AS21" s="46">
        <v>24.0</v>
      </c>
      <c r="AT21" s="46">
        <v>7.7</v>
      </c>
      <c r="AU21" s="46">
        <v>1.81</v>
      </c>
      <c r="AV21" s="46">
        <f t="shared" si="11"/>
        <v>0.905</v>
      </c>
      <c r="AW21" s="46">
        <v>24.4</v>
      </c>
      <c r="AX21" s="46">
        <v>7.8</v>
      </c>
      <c r="AY21" s="46">
        <v>1.78</v>
      </c>
      <c r="AZ21" s="46">
        <f t="shared" si="12"/>
        <v>0.89</v>
      </c>
      <c r="BA21" s="46">
        <v>24.9</v>
      </c>
      <c r="BB21" s="46">
        <v>3265.0</v>
      </c>
      <c r="BC21" s="46">
        <v>30.3</v>
      </c>
      <c r="BD21" s="46">
        <v>58.7</v>
      </c>
    </row>
    <row r="22">
      <c r="A22" s="48" t="s">
        <v>59</v>
      </c>
      <c r="B22" s="46">
        <v>6.4</v>
      </c>
      <c r="C22" s="46">
        <v>2.84</v>
      </c>
      <c r="D22" s="46">
        <f t="shared" si="1"/>
        <v>1.42</v>
      </c>
      <c r="E22" s="46">
        <v>23.0</v>
      </c>
      <c r="F22" s="46">
        <v>6.6</v>
      </c>
      <c r="G22" s="46">
        <v>3.08</v>
      </c>
      <c r="H22" s="46">
        <f t="shared" si="2"/>
        <v>1.54</v>
      </c>
      <c r="I22" s="46">
        <v>22.4</v>
      </c>
      <c r="J22" s="46">
        <v>6.6</v>
      </c>
      <c r="K22" s="46">
        <v>2.88</v>
      </c>
      <c r="L22" s="46">
        <f t="shared" si="3"/>
        <v>1.44</v>
      </c>
      <c r="M22" s="46">
        <v>22.2</v>
      </c>
      <c r="N22" s="46">
        <v>7.2</v>
      </c>
      <c r="O22" s="46">
        <v>2.26</v>
      </c>
      <c r="P22" s="46">
        <f t="shared" si="4"/>
        <v>1.13</v>
      </c>
      <c r="Q22" s="46">
        <v>22.0</v>
      </c>
      <c r="R22" s="46">
        <v>7.3</v>
      </c>
      <c r="S22" s="46">
        <v>2.71</v>
      </c>
      <c r="T22" s="46">
        <f t="shared" si="5"/>
        <v>1.355</v>
      </c>
      <c r="U22" s="46">
        <v>22.1</v>
      </c>
      <c r="V22" s="46">
        <v>7.3</v>
      </c>
      <c r="W22" s="46">
        <v>2.88</v>
      </c>
      <c r="X22" s="46">
        <f t="shared" si="6"/>
        <v>1.44</v>
      </c>
      <c r="Y22" s="46">
        <v>22.6</v>
      </c>
      <c r="Z22" s="46">
        <v>1265.0</v>
      </c>
      <c r="AA22" s="46">
        <v>27.0</v>
      </c>
      <c r="AB22" s="46">
        <v>81.5</v>
      </c>
      <c r="AC22" s="45"/>
      <c r="AD22" s="46">
        <v>7.2</v>
      </c>
      <c r="AE22" s="46">
        <v>1.66</v>
      </c>
      <c r="AF22" s="46">
        <f t="shared" si="7"/>
        <v>0.83</v>
      </c>
      <c r="AG22" s="46">
        <v>25.3</v>
      </c>
      <c r="AH22" s="46">
        <v>7.1</v>
      </c>
      <c r="AI22" s="46">
        <v>2.3</v>
      </c>
      <c r="AJ22" s="46">
        <f t="shared" si="8"/>
        <v>1.15</v>
      </c>
      <c r="AK22" s="46">
        <v>24.9</v>
      </c>
      <c r="AL22" s="46">
        <v>7.2</v>
      </c>
      <c r="AM22" s="46">
        <v>1.8</v>
      </c>
      <c r="AN22" s="46">
        <f t="shared" si="9"/>
        <v>0.9</v>
      </c>
      <c r="AO22" s="46">
        <v>24.3</v>
      </c>
      <c r="AP22" s="46">
        <v>7.5</v>
      </c>
      <c r="AQ22" s="46">
        <v>1.96</v>
      </c>
      <c r="AR22" s="46">
        <f t="shared" si="10"/>
        <v>0.98</v>
      </c>
      <c r="AS22" s="46">
        <v>24.0</v>
      </c>
      <c r="AT22" s="46">
        <v>7.7</v>
      </c>
      <c r="AU22" s="46">
        <v>1.81</v>
      </c>
      <c r="AV22" s="46">
        <f t="shared" si="11"/>
        <v>0.905</v>
      </c>
      <c r="AW22" s="46">
        <v>24.4</v>
      </c>
      <c r="AX22" s="46">
        <v>7.8</v>
      </c>
      <c r="AY22" s="46">
        <v>1.98</v>
      </c>
      <c r="AZ22" s="46">
        <f t="shared" si="12"/>
        <v>0.99</v>
      </c>
      <c r="BA22" s="46">
        <v>24.9</v>
      </c>
      <c r="BB22" s="46">
        <v>3103.0</v>
      </c>
      <c r="BC22" s="46">
        <v>34.5</v>
      </c>
      <c r="BD22" s="46">
        <v>55.9</v>
      </c>
    </row>
    <row r="23">
      <c r="A23" s="48" t="s">
        <v>60</v>
      </c>
      <c r="B23" s="46">
        <v>6.5</v>
      </c>
      <c r="C23" s="46">
        <v>2.82</v>
      </c>
      <c r="D23" s="46">
        <f t="shared" si="1"/>
        <v>1.41</v>
      </c>
      <c r="E23" s="46">
        <v>23.5</v>
      </c>
      <c r="F23" s="46">
        <v>6.6</v>
      </c>
      <c r="G23" s="46">
        <v>3.09</v>
      </c>
      <c r="H23" s="46">
        <f t="shared" si="2"/>
        <v>1.545</v>
      </c>
      <c r="I23" s="46">
        <v>23.2</v>
      </c>
      <c r="J23" s="46">
        <v>6.6</v>
      </c>
      <c r="K23" s="46">
        <v>2.8</v>
      </c>
      <c r="L23" s="46">
        <f t="shared" si="3"/>
        <v>1.4</v>
      </c>
      <c r="M23" s="46">
        <v>23.0</v>
      </c>
      <c r="N23" s="46">
        <v>7.3</v>
      </c>
      <c r="O23" s="46">
        <v>2.77</v>
      </c>
      <c r="P23" s="46">
        <f t="shared" si="4"/>
        <v>1.385</v>
      </c>
      <c r="Q23" s="46">
        <v>22.7</v>
      </c>
      <c r="R23" s="46">
        <v>7.2</v>
      </c>
      <c r="S23" s="46">
        <v>2.7</v>
      </c>
      <c r="T23" s="46">
        <f t="shared" si="5"/>
        <v>1.35</v>
      </c>
      <c r="U23" s="46">
        <v>22.5</v>
      </c>
      <c r="V23" s="46">
        <v>7.3</v>
      </c>
      <c r="W23" s="46">
        <v>2.86</v>
      </c>
      <c r="X23" s="46">
        <f t="shared" si="6"/>
        <v>1.43</v>
      </c>
      <c r="Y23" s="46">
        <v>22.3</v>
      </c>
      <c r="Z23" s="46">
        <v>6302.0</v>
      </c>
      <c r="AA23" s="46">
        <v>26.8</v>
      </c>
      <c r="AB23" s="46">
        <v>79.3</v>
      </c>
      <c r="AC23" s="45"/>
      <c r="AD23" s="46">
        <v>6.6</v>
      </c>
      <c r="AE23" s="46">
        <v>2.77</v>
      </c>
      <c r="AF23" s="46">
        <f t="shared" si="7"/>
        <v>1.385</v>
      </c>
      <c r="AG23" s="46">
        <v>24.8</v>
      </c>
      <c r="AH23" s="46">
        <v>6.7</v>
      </c>
      <c r="AI23" s="46">
        <v>3.06</v>
      </c>
      <c r="AJ23" s="46">
        <f t="shared" si="8"/>
        <v>1.53</v>
      </c>
      <c r="AK23" s="46">
        <v>24.5</v>
      </c>
      <c r="AL23" s="46">
        <v>6.6</v>
      </c>
      <c r="AM23" s="46">
        <v>2.81</v>
      </c>
      <c r="AN23" s="46">
        <f t="shared" si="9"/>
        <v>1.405</v>
      </c>
      <c r="AO23" s="46">
        <v>24.0</v>
      </c>
      <c r="AP23" s="46">
        <v>7.3</v>
      </c>
      <c r="AQ23" s="46">
        <v>2.76</v>
      </c>
      <c r="AR23" s="46">
        <f t="shared" si="10"/>
        <v>1.38</v>
      </c>
      <c r="AS23" s="46">
        <v>24.0</v>
      </c>
      <c r="AT23" s="46">
        <v>7.2</v>
      </c>
      <c r="AU23" s="46">
        <v>2.7</v>
      </c>
      <c r="AV23" s="46">
        <f t="shared" si="11"/>
        <v>1.35</v>
      </c>
      <c r="AW23" s="46">
        <v>24.0</v>
      </c>
      <c r="AX23" s="46">
        <v>7.2</v>
      </c>
      <c r="AY23" s="46">
        <v>2.85</v>
      </c>
      <c r="AZ23" s="46">
        <f t="shared" si="12"/>
        <v>1.425</v>
      </c>
      <c r="BA23" s="46">
        <v>24.2</v>
      </c>
      <c r="BB23" s="44" t="s">
        <v>41</v>
      </c>
      <c r="BC23" s="44" t="s">
        <v>41</v>
      </c>
      <c r="BD23" s="44" t="s">
        <v>41</v>
      </c>
    </row>
    <row r="24">
      <c r="A24" s="49">
        <v>45510.0</v>
      </c>
      <c r="B24" s="46">
        <v>6.0</v>
      </c>
      <c r="C24" s="46">
        <v>2.76</v>
      </c>
      <c r="D24" s="46">
        <f t="shared" si="1"/>
        <v>1.38</v>
      </c>
      <c r="E24" s="46">
        <v>23.0</v>
      </c>
      <c r="F24" s="46">
        <v>6.2</v>
      </c>
      <c r="G24" s="46">
        <v>3.05</v>
      </c>
      <c r="H24" s="46">
        <f t="shared" si="2"/>
        <v>1.525</v>
      </c>
      <c r="I24" s="46">
        <v>22.7</v>
      </c>
      <c r="J24" s="46">
        <v>6.0</v>
      </c>
      <c r="K24" s="46">
        <v>2.9</v>
      </c>
      <c r="L24" s="46">
        <f t="shared" si="3"/>
        <v>1.45</v>
      </c>
      <c r="M24" s="46">
        <v>22.6</v>
      </c>
      <c r="N24" s="46">
        <v>6.8</v>
      </c>
      <c r="O24" s="46">
        <v>2.74</v>
      </c>
      <c r="P24" s="46">
        <f t="shared" si="4"/>
        <v>1.37</v>
      </c>
      <c r="Q24" s="46">
        <v>22.3</v>
      </c>
      <c r="R24" s="46">
        <v>7.0</v>
      </c>
      <c r="S24" s="46">
        <v>2.72</v>
      </c>
      <c r="T24" s="46">
        <f t="shared" si="5"/>
        <v>1.36</v>
      </c>
      <c r="U24" s="46">
        <v>22.8</v>
      </c>
      <c r="V24" s="46">
        <v>7.0</v>
      </c>
      <c r="W24" s="46">
        <v>2.9</v>
      </c>
      <c r="X24" s="46">
        <f t="shared" si="6"/>
        <v>1.45</v>
      </c>
      <c r="Y24" s="46">
        <v>23.1</v>
      </c>
      <c r="Z24" s="44" t="s">
        <v>41</v>
      </c>
      <c r="AA24" s="44" t="s">
        <v>41</v>
      </c>
      <c r="AB24" s="44" t="s">
        <v>41</v>
      </c>
      <c r="AC24" s="45"/>
      <c r="AD24" s="46">
        <v>6.1</v>
      </c>
      <c r="AE24" s="46">
        <v>2.7</v>
      </c>
      <c r="AF24" s="46">
        <f t="shared" si="7"/>
        <v>1.35</v>
      </c>
      <c r="AG24" s="46">
        <v>25.3</v>
      </c>
      <c r="AH24" s="46">
        <v>6.2</v>
      </c>
      <c r="AI24" s="46">
        <v>3.05</v>
      </c>
      <c r="AJ24" s="46">
        <f t="shared" si="8"/>
        <v>1.525</v>
      </c>
      <c r="AK24" s="46">
        <v>25.1</v>
      </c>
      <c r="AL24" s="46">
        <v>6.1</v>
      </c>
      <c r="AM24" s="46">
        <v>2.88</v>
      </c>
      <c r="AN24" s="46">
        <f t="shared" si="9"/>
        <v>1.44</v>
      </c>
      <c r="AO24" s="46">
        <v>25.0</v>
      </c>
      <c r="AP24" s="46">
        <v>6.7</v>
      </c>
      <c r="AQ24" s="46">
        <v>2.75</v>
      </c>
      <c r="AR24" s="46">
        <f t="shared" si="10"/>
        <v>1.375</v>
      </c>
      <c r="AS24" s="46">
        <v>24.9</v>
      </c>
      <c r="AT24" s="46">
        <v>7.1</v>
      </c>
      <c r="AU24" s="46">
        <v>2.71</v>
      </c>
      <c r="AV24" s="46">
        <f t="shared" si="11"/>
        <v>1.355</v>
      </c>
      <c r="AW24" s="46">
        <v>25.1</v>
      </c>
      <c r="AX24" s="46">
        <v>7.1</v>
      </c>
      <c r="AY24" s="46">
        <v>2.91</v>
      </c>
      <c r="AZ24" s="46">
        <f t="shared" si="12"/>
        <v>1.455</v>
      </c>
      <c r="BA24" s="46">
        <v>25.6</v>
      </c>
      <c r="BB24" s="44" t="s">
        <v>41</v>
      </c>
      <c r="BC24" s="44" t="s">
        <v>41</v>
      </c>
      <c r="BD24" s="44" t="s">
        <v>41</v>
      </c>
    </row>
    <row r="25">
      <c r="A25" s="49">
        <v>45541.0</v>
      </c>
      <c r="B25" s="46">
        <v>6.1</v>
      </c>
      <c r="C25" s="46">
        <v>2.75</v>
      </c>
      <c r="D25" s="46">
        <f t="shared" si="1"/>
        <v>1.375</v>
      </c>
      <c r="E25" s="46">
        <v>21.9</v>
      </c>
      <c r="F25" s="46">
        <v>6.3</v>
      </c>
      <c r="G25" s="46">
        <v>3.05</v>
      </c>
      <c r="H25" s="46">
        <f t="shared" si="2"/>
        <v>1.525</v>
      </c>
      <c r="I25" s="46">
        <v>21.9</v>
      </c>
      <c r="J25" s="46">
        <v>6.2</v>
      </c>
      <c r="K25" s="46">
        <v>2.85</v>
      </c>
      <c r="L25" s="46">
        <f t="shared" si="3"/>
        <v>1.425</v>
      </c>
      <c r="M25" s="46">
        <v>21.8</v>
      </c>
      <c r="N25" s="46">
        <v>6.8</v>
      </c>
      <c r="O25" s="46">
        <v>2.75</v>
      </c>
      <c r="P25" s="46">
        <f t="shared" si="4"/>
        <v>1.375</v>
      </c>
      <c r="Q25" s="46">
        <v>21.9</v>
      </c>
      <c r="R25" s="46">
        <v>7.0</v>
      </c>
      <c r="S25" s="46">
        <v>2.77</v>
      </c>
      <c r="T25" s="46">
        <f t="shared" si="5"/>
        <v>1.385</v>
      </c>
      <c r="U25" s="46">
        <v>22.0</v>
      </c>
      <c r="V25" s="46">
        <v>6.9</v>
      </c>
      <c r="W25" s="46">
        <v>2.93</v>
      </c>
      <c r="X25" s="46">
        <f t="shared" si="6"/>
        <v>1.465</v>
      </c>
      <c r="Y25" s="44">
        <v>22.1</v>
      </c>
      <c r="Z25" s="44" t="s">
        <v>41</v>
      </c>
      <c r="AA25" s="44" t="s">
        <v>41</v>
      </c>
      <c r="AB25" s="44" t="s">
        <v>41</v>
      </c>
      <c r="AC25" s="45"/>
      <c r="AD25" s="46">
        <v>6.1</v>
      </c>
      <c r="AE25" s="46">
        <v>2.68</v>
      </c>
      <c r="AF25" s="46">
        <f t="shared" si="7"/>
        <v>1.34</v>
      </c>
      <c r="AG25" s="46">
        <v>23.7</v>
      </c>
      <c r="AH25" s="46">
        <v>6.4</v>
      </c>
      <c r="AI25" s="46">
        <v>3.04</v>
      </c>
      <c r="AJ25" s="46">
        <f t="shared" si="8"/>
        <v>1.52</v>
      </c>
      <c r="AK25" s="46">
        <v>23.7</v>
      </c>
      <c r="AL25" s="46">
        <v>6.2</v>
      </c>
      <c r="AM25" s="46">
        <v>2.83</v>
      </c>
      <c r="AN25" s="46">
        <f t="shared" si="9"/>
        <v>1.415</v>
      </c>
      <c r="AO25" s="46">
        <v>23.6</v>
      </c>
      <c r="AP25" s="46">
        <v>6.7</v>
      </c>
      <c r="AQ25" s="46">
        <v>2.76</v>
      </c>
      <c r="AR25" s="46">
        <f t="shared" si="10"/>
        <v>1.38</v>
      </c>
      <c r="AS25" s="46">
        <v>23.3</v>
      </c>
      <c r="AT25" s="46">
        <v>7.1</v>
      </c>
      <c r="AU25" s="46">
        <v>2.75</v>
      </c>
      <c r="AV25" s="46">
        <f t="shared" si="11"/>
        <v>1.375</v>
      </c>
      <c r="AW25" s="46">
        <v>23.0</v>
      </c>
      <c r="AX25" s="46">
        <v>6.8</v>
      </c>
      <c r="AY25" s="46">
        <v>2.92</v>
      </c>
      <c r="AZ25" s="46">
        <f t="shared" si="12"/>
        <v>1.46</v>
      </c>
      <c r="BA25" s="46">
        <v>23.8</v>
      </c>
      <c r="BB25" s="44" t="s">
        <v>41</v>
      </c>
      <c r="BC25" s="44" t="s">
        <v>41</v>
      </c>
      <c r="BD25" s="44" t="s">
        <v>41</v>
      </c>
    </row>
    <row r="26">
      <c r="A26" s="49">
        <v>45571.0</v>
      </c>
      <c r="B26" s="46">
        <v>6.1</v>
      </c>
      <c r="C26" s="46">
        <v>2.73</v>
      </c>
      <c r="D26" s="46">
        <f t="shared" si="1"/>
        <v>1.365</v>
      </c>
      <c r="E26" s="46">
        <v>21.6</v>
      </c>
      <c r="F26" s="46">
        <v>6.2</v>
      </c>
      <c r="G26" s="46">
        <v>3.1</v>
      </c>
      <c r="H26" s="46">
        <f t="shared" si="2"/>
        <v>1.55</v>
      </c>
      <c r="I26" s="46">
        <v>21.2</v>
      </c>
      <c r="J26" s="46">
        <v>6.2</v>
      </c>
      <c r="K26" s="46">
        <v>2.86</v>
      </c>
      <c r="L26" s="46">
        <f t="shared" si="3"/>
        <v>1.43</v>
      </c>
      <c r="M26" s="46">
        <v>21.0</v>
      </c>
      <c r="N26" s="46">
        <v>6.7</v>
      </c>
      <c r="O26" s="46">
        <v>2.77</v>
      </c>
      <c r="P26" s="46">
        <f t="shared" si="4"/>
        <v>1.385</v>
      </c>
      <c r="Q26" s="46">
        <v>21.0</v>
      </c>
      <c r="R26" s="46">
        <v>7.1</v>
      </c>
      <c r="S26" s="46">
        <v>2.75</v>
      </c>
      <c r="T26" s="46">
        <f t="shared" si="5"/>
        <v>1.375</v>
      </c>
      <c r="U26" s="46">
        <v>20.8</v>
      </c>
      <c r="V26" s="46">
        <v>6.8</v>
      </c>
      <c r="W26" s="46">
        <v>2.91</v>
      </c>
      <c r="X26" s="46">
        <f t="shared" si="6"/>
        <v>1.455</v>
      </c>
      <c r="Y26" s="44">
        <v>21.7</v>
      </c>
      <c r="Z26" s="44" t="s">
        <v>41</v>
      </c>
      <c r="AA26" s="44" t="s">
        <v>41</v>
      </c>
      <c r="AB26" s="44" t="s">
        <v>41</v>
      </c>
      <c r="AC26" s="45"/>
      <c r="AD26" s="46">
        <v>6.4</v>
      </c>
      <c r="AE26" s="46">
        <v>2.72</v>
      </c>
      <c r="AF26" s="46">
        <f t="shared" si="7"/>
        <v>1.36</v>
      </c>
      <c r="AG26" s="46">
        <v>25.8</v>
      </c>
      <c r="AH26" s="46">
        <v>6.5</v>
      </c>
      <c r="AI26" s="46">
        <v>3.02</v>
      </c>
      <c r="AJ26" s="46">
        <f t="shared" si="8"/>
        <v>1.51</v>
      </c>
      <c r="AK26" s="46">
        <v>24.9</v>
      </c>
      <c r="AL26" s="46">
        <v>6.4</v>
      </c>
      <c r="AM26" s="46">
        <v>2.8</v>
      </c>
      <c r="AN26" s="46">
        <f t="shared" si="9"/>
        <v>1.4</v>
      </c>
      <c r="AO26" s="46">
        <v>24.2</v>
      </c>
      <c r="AP26" s="46">
        <v>7.0</v>
      </c>
      <c r="AQ26" s="46">
        <v>2.77</v>
      </c>
      <c r="AR26" s="46">
        <f t="shared" si="10"/>
        <v>1.385</v>
      </c>
      <c r="AS26" s="46">
        <v>24.1</v>
      </c>
      <c r="AT26" s="46">
        <v>7.1</v>
      </c>
      <c r="AU26" s="46">
        <v>2.71</v>
      </c>
      <c r="AV26" s="46">
        <f t="shared" si="11"/>
        <v>1.355</v>
      </c>
      <c r="AW26" s="46">
        <v>24.5</v>
      </c>
      <c r="AX26" s="46">
        <v>7.0</v>
      </c>
      <c r="AY26" s="46">
        <v>2.91</v>
      </c>
      <c r="AZ26" s="46">
        <f t="shared" si="12"/>
        <v>1.455</v>
      </c>
      <c r="BA26" s="46">
        <v>24.9</v>
      </c>
      <c r="BB26" s="44" t="s">
        <v>41</v>
      </c>
      <c r="BC26" s="44" t="s">
        <v>41</v>
      </c>
      <c r="BD26" s="44" t="s">
        <v>41</v>
      </c>
    </row>
    <row r="27">
      <c r="A27" s="49">
        <v>45602.0</v>
      </c>
      <c r="B27" s="46">
        <v>6.9</v>
      </c>
      <c r="C27" s="46">
        <v>3.1</v>
      </c>
      <c r="D27" s="46">
        <f t="shared" si="1"/>
        <v>1.55</v>
      </c>
      <c r="E27" s="46">
        <v>23.6</v>
      </c>
      <c r="F27" s="46">
        <v>6.8</v>
      </c>
      <c r="G27" s="46">
        <v>3.26</v>
      </c>
      <c r="H27" s="46">
        <f t="shared" si="2"/>
        <v>1.63</v>
      </c>
      <c r="I27" s="46">
        <v>22.8</v>
      </c>
      <c r="J27" s="46">
        <v>6.8</v>
      </c>
      <c r="K27" s="46">
        <v>3.08</v>
      </c>
      <c r="L27" s="46">
        <f t="shared" si="3"/>
        <v>1.54</v>
      </c>
      <c r="M27" s="46">
        <v>22.6</v>
      </c>
      <c r="N27" s="46">
        <v>7.3</v>
      </c>
      <c r="O27" s="46">
        <v>2.92</v>
      </c>
      <c r="P27" s="46">
        <f t="shared" si="4"/>
        <v>1.46</v>
      </c>
      <c r="Q27" s="46">
        <v>22.1</v>
      </c>
      <c r="R27" s="46">
        <v>7.2</v>
      </c>
      <c r="S27" s="46">
        <v>3.16</v>
      </c>
      <c r="T27" s="46">
        <f t="shared" si="5"/>
        <v>1.58</v>
      </c>
      <c r="U27" s="46">
        <v>23.1</v>
      </c>
      <c r="V27" s="46">
        <v>7.3</v>
      </c>
      <c r="W27" s="46">
        <v>3.13</v>
      </c>
      <c r="X27" s="46">
        <f t="shared" si="6"/>
        <v>1.565</v>
      </c>
      <c r="Y27" s="44">
        <v>23.3</v>
      </c>
      <c r="Z27" s="46">
        <v>20120.0</v>
      </c>
      <c r="AA27" s="46">
        <v>25.8</v>
      </c>
      <c r="AB27" s="46">
        <v>64.2</v>
      </c>
      <c r="AC27" s="45"/>
      <c r="AD27" s="46">
        <v>6.8</v>
      </c>
      <c r="AE27" s="46">
        <v>3.02</v>
      </c>
      <c r="AF27" s="46">
        <f t="shared" si="7"/>
        <v>1.51</v>
      </c>
      <c r="AG27" s="46">
        <v>24.9</v>
      </c>
      <c r="AH27" s="46">
        <v>6.9</v>
      </c>
      <c r="AI27" s="46">
        <v>3.28</v>
      </c>
      <c r="AJ27" s="46">
        <f t="shared" si="8"/>
        <v>1.64</v>
      </c>
      <c r="AK27" s="46">
        <v>24.7</v>
      </c>
      <c r="AL27" s="46">
        <v>6.8</v>
      </c>
      <c r="AM27" s="46">
        <v>3.09</v>
      </c>
      <c r="AN27" s="46">
        <f t="shared" si="9"/>
        <v>1.545</v>
      </c>
      <c r="AO27" s="46">
        <v>24.5</v>
      </c>
      <c r="AP27" s="46">
        <v>7.4</v>
      </c>
      <c r="AQ27" s="46">
        <v>3.18</v>
      </c>
      <c r="AR27" s="46">
        <f t="shared" si="10"/>
        <v>1.59</v>
      </c>
      <c r="AS27" s="46">
        <v>24.2</v>
      </c>
      <c r="AT27" s="46">
        <v>7.3</v>
      </c>
      <c r="AU27" s="46">
        <v>3.18</v>
      </c>
      <c r="AV27" s="46">
        <f t="shared" si="11"/>
        <v>1.59</v>
      </c>
      <c r="AW27" s="46">
        <v>24.2</v>
      </c>
      <c r="AX27" s="46">
        <v>7.3</v>
      </c>
      <c r="AY27" s="46">
        <v>3.15</v>
      </c>
      <c r="AZ27" s="46">
        <f t="shared" si="12"/>
        <v>1.575</v>
      </c>
      <c r="BA27" s="46">
        <v>24.5</v>
      </c>
      <c r="BB27" s="46">
        <v>31710.0</v>
      </c>
      <c r="BC27" s="46">
        <v>32.3</v>
      </c>
      <c r="BD27" s="46">
        <v>43.8</v>
      </c>
    </row>
    <row r="28">
      <c r="A28" s="49">
        <v>45632.0</v>
      </c>
      <c r="B28" s="44" t="s">
        <v>41</v>
      </c>
      <c r="C28" s="44">
        <v>3.03</v>
      </c>
      <c r="D28" s="46">
        <f t="shared" si="1"/>
        <v>1.515</v>
      </c>
      <c r="E28" s="44">
        <v>23.2</v>
      </c>
      <c r="F28" s="46"/>
      <c r="G28" s="44">
        <v>3.28</v>
      </c>
      <c r="H28" s="46">
        <f t="shared" si="2"/>
        <v>1.64</v>
      </c>
      <c r="I28" s="44">
        <v>22.9</v>
      </c>
      <c r="J28" s="46"/>
      <c r="K28" s="44">
        <v>3.09</v>
      </c>
      <c r="L28" s="46">
        <f t="shared" si="3"/>
        <v>1.545</v>
      </c>
      <c r="M28" s="44">
        <v>22.7</v>
      </c>
      <c r="N28" s="44">
        <v>2.0</v>
      </c>
      <c r="O28" s="44">
        <v>2.91</v>
      </c>
      <c r="P28" s="46">
        <f t="shared" si="4"/>
        <v>1.455</v>
      </c>
      <c r="Q28" s="44">
        <v>22.6</v>
      </c>
      <c r="R28" s="46"/>
      <c r="S28" s="44">
        <v>3.18</v>
      </c>
      <c r="T28" s="46">
        <f t="shared" si="5"/>
        <v>1.59</v>
      </c>
      <c r="U28" s="44">
        <v>23.2</v>
      </c>
      <c r="V28" s="46"/>
      <c r="W28" s="44">
        <v>3.15</v>
      </c>
      <c r="X28" s="46">
        <f t="shared" si="6"/>
        <v>1.575</v>
      </c>
      <c r="Y28" s="44">
        <v>23.5</v>
      </c>
      <c r="Z28" s="46">
        <v>26830.0</v>
      </c>
      <c r="AA28" s="46">
        <v>26.9</v>
      </c>
      <c r="AB28" s="46">
        <v>77.9</v>
      </c>
      <c r="AC28" s="45"/>
      <c r="AD28" s="44">
        <v>6.9</v>
      </c>
      <c r="AE28" s="44">
        <v>3.1</v>
      </c>
      <c r="AF28" s="46">
        <f t="shared" si="7"/>
        <v>1.55</v>
      </c>
      <c r="AG28" s="44">
        <v>24.2</v>
      </c>
      <c r="AH28" s="44">
        <v>7.0</v>
      </c>
      <c r="AI28" s="44">
        <v>3.22</v>
      </c>
      <c r="AJ28" s="46">
        <f t="shared" si="8"/>
        <v>1.61</v>
      </c>
      <c r="AK28" s="44">
        <v>23.3</v>
      </c>
      <c r="AL28" s="44">
        <v>7.3</v>
      </c>
      <c r="AM28" s="44">
        <v>2.9</v>
      </c>
      <c r="AN28" s="46">
        <f t="shared" si="9"/>
        <v>1.45</v>
      </c>
      <c r="AO28" s="44" t="s">
        <v>41</v>
      </c>
      <c r="AP28" s="44" t="s">
        <v>41</v>
      </c>
      <c r="AQ28" s="44" t="s">
        <v>41</v>
      </c>
      <c r="AR28" s="44" t="s">
        <v>41</v>
      </c>
      <c r="AS28" s="44" t="s">
        <v>41</v>
      </c>
      <c r="AT28" s="44" t="s">
        <v>41</v>
      </c>
      <c r="AU28" s="44" t="s">
        <v>41</v>
      </c>
      <c r="AV28" s="44" t="s">
        <v>41</v>
      </c>
      <c r="AW28" s="44" t="s">
        <v>41</v>
      </c>
      <c r="AX28" s="44" t="s">
        <v>41</v>
      </c>
      <c r="AY28" s="44" t="s">
        <v>41</v>
      </c>
      <c r="AZ28" s="44" t="s">
        <v>41</v>
      </c>
      <c r="BA28" s="44" t="s">
        <v>41</v>
      </c>
      <c r="BB28" s="46">
        <v>23550.0</v>
      </c>
      <c r="BC28" s="46">
        <v>35.8</v>
      </c>
      <c r="BD28" s="46">
        <v>56.5</v>
      </c>
    </row>
    <row r="29">
      <c r="A29" s="48" t="s">
        <v>61</v>
      </c>
      <c r="B29" s="46">
        <v>7.2</v>
      </c>
      <c r="C29" s="46">
        <v>2.87</v>
      </c>
      <c r="D29" s="46">
        <f t="shared" si="1"/>
        <v>1.435</v>
      </c>
      <c r="E29" s="46">
        <v>22.5</v>
      </c>
      <c r="F29" s="46">
        <v>7.2</v>
      </c>
      <c r="G29" s="46">
        <v>3.11</v>
      </c>
      <c r="H29" s="46">
        <f t="shared" si="2"/>
        <v>1.555</v>
      </c>
      <c r="I29" s="46">
        <v>22.2</v>
      </c>
      <c r="J29" s="46">
        <v>7.2</v>
      </c>
      <c r="K29" s="46">
        <v>3.01</v>
      </c>
      <c r="L29" s="46">
        <f t="shared" si="3"/>
        <v>1.505</v>
      </c>
      <c r="M29" s="46">
        <v>22.1</v>
      </c>
      <c r="N29" s="46">
        <v>7.4</v>
      </c>
      <c r="O29" s="46">
        <v>2.85</v>
      </c>
      <c r="P29" s="46">
        <f t="shared" si="4"/>
        <v>1.425</v>
      </c>
      <c r="Q29" s="46">
        <v>22.0</v>
      </c>
      <c r="R29" s="46">
        <v>7.3</v>
      </c>
      <c r="S29" s="46">
        <v>2.16</v>
      </c>
      <c r="T29" s="46">
        <f t="shared" si="5"/>
        <v>1.08</v>
      </c>
      <c r="U29" s="46">
        <v>22.6</v>
      </c>
      <c r="V29" s="46">
        <v>7.3</v>
      </c>
      <c r="W29" s="46">
        <v>3.13</v>
      </c>
      <c r="X29" s="46">
        <f t="shared" si="6"/>
        <v>1.565</v>
      </c>
      <c r="Y29" s="44" t="s">
        <v>41</v>
      </c>
      <c r="Z29" s="46">
        <v>23290.0</v>
      </c>
      <c r="AA29" s="46">
        <v>33.1</v>
      </c>
      <c r="AB29" s="46">
        <v>59.9</v>
      </c>
      <c r="AC29" s="45"/>
      <c r="AD29" s="46">
        <v>7.3</v>
      </c>
      <c r="AE29" s="46">
        <v>3.16</v>
      </c>
      <c r="AF29" s="46">
        <f t="shared" si="7"/>
        <v>1.58</v>
      </c>
      <c r="AG29" s="46">
        <v>25.2</v>
      </c>
      <c r="AH29" s="46">
        <v>7.5</v>
      </c>
      <c r="AI29" s="46">
        <v>2.88</v>
      </c>
      <c r="AJ29" s="46">
        <f t="shared" si="8"/>
        <v>1.44</v>
      </c>
      <c r="AK29" s="46">
        <v>24.2</v>
      </c>
      <c r="AL29" s="46">
        <v>7.4</v>
      </c>
      <c r="AM29" s="46">
        <v>2.85</v>
      </c>
      <c r="AN29" s="46">
        <f t="shared" si="9"/>
        <v>1.425</v>
      </c>
      <c r="AO29" s="46">
        <v>24.0</v>
      </c>
      <c r="AP29" s="46">
        <v>7.1</v>
      </c>
      <c r="AQ29" s="46">
        <v>3.02</v>
      </c>
      <c r="AR29" s="46">
        <f t="shared" ref="AR29:AR30" si="13">AQ29/2</f>
        <v>1.51</v>
      </c>
      <c r="AS29" s="46">
        <v>23.8</v>
      </c>
      <c r="AT29" s="46">
        <v>7.1</v>
      </c>
      <c r="AU29" s="46">
        <v>3.19</v>
      </c>
      <c r="AV29" s="46">
        <f t="shared" ref="AV29:AV30" si="14">AU29/2</f>
        <v>1.595</v>
      </c>
      <c r="AW29" s="46">
        <v>24.1</v>
      </c>
      <c r="AX29" s="46">
        <v>7.2</v>
      </c>
      <c r="AY29" s="46">
        <v>2.94</v>
      </c>
      <c r="AZ29" s="46">
        <f t="shared" ref="AZ29:AZ30" si="15">AY29/2</f>
        <v>1.47</v>
      </c>
      <c r="BA29" s="46">
        <v>24.5</v>
      </c>
      <c r="BB29" s="46">
        <v>23550.0</v>
      </c>
      <c r="BC29" s="46">
        <v>35.8</v>
      </c>
      <c r="BD29" s="46">
        <v>56.5</v>
      </c>
    </row>
    <row r="30">
      <c r="A30" s="48" t="s">
        <v>62</v>
      </c>
      <c r="B30" s="46">
        <v>7.5</v>
      </c>
      <c r="C30" s="46">
        <v>3.17</v>
      </c>
      <c r="D30" s="46">
        <f t="shared" si="1"/>
        <v>1.585</v>
      </c>
      <c r="E30" s="46">
        <v>24.2</v>
      </c>
      <c r="F30" s="46">
        <v>7.6</v>
      </c>
      <c r="G30" s="46">
        <v>2.89</v>
      </c>
      <c r="H30" s="46">
        <f t="shared" si="2"/>
        <v>1.445</v>
      </c>
      <c r="I30" s="46">
        <v>23.3</v>
      </c>
      <c r="J30" s="46">
        <v>7.5</v>
      </c>
      <c r="K30" s="46">
        <v>2.85</v>
      </c>
      <c r="L30" s="46">
        <f t="shared" si="3"/>
        <v>1.425</v>
      </c>
      <c r="M30" s="46">
        <v>23.3</v>
      </c>
      <c r="N30" s="46">
        <v>7.3</v>
      </c>
      <c r="O30" s="46">
        <v>3.01</v>
      </c>
      <c r="P30" s="46">
        <f t="shared" si="4"/>
        <v>1.505</v>
      </c>
      <c r="Q30" s="46">
        <v>23.3</v>
      </c>
      <c r="R30" s="46">
        <v>7.3</v>
      </c>
      <c r="S30" s="46">
        <v>3.19</v>
      </c>
      <c r="T30" s="46">
        <f t="shared" si="5"/>
        <v>1.595</v>
      </c>
      <c r="U30" s="46">
        <v>23.9</v>
      </c>
      <c r="V30" s="46">
        <v>7.3</v>
      </c>
      <c r="W30" s="46">
        <v>2.96</v>
      </c>
      <c r="X30" s="46">
        <f t="shared" si="6"/>
        <v>1.48</v>
      </c>
      <c r="Y30" s="44" t="s">
        <v>41</v>
      </c>
      <c r="Z30" s="44" t="s">
        <v>41</v>
      </c>
      <c r="AA30" s="44" t="s">
        <v>41</v>
      </c>
      <c r="AB30" s="44" t="s">
        <v>41</v>
      </c>
      <c r="AC30" s="45"/>
      <c r="AD30" s="46">
        <v>7.3</v>
      </c>
      <c r="AE30" s="46">
        <v>3.29</v>
      </c>
      <c r="AF30" s="46">
        <f t="shared" si="7"/>
        <v>1.645</v>
      </c>
      <c r="AG30" s="46">
        <v>33.0</v>
      </c>
      <c r="AH30" s="46">
        <v>7.3</v>
      </c>
      <c r="AI30" s="46">
        <v>3.52</v>
      </c>
      <c r="AJ30" s="46">
        <f t="shared" si="8"/>
        <v>1.76</v>
      </c>
      <c r="AK30" s="46">
        <v>32.4</v>
      </c>
      <c r="AL30" s="46">
        <v>7.3</v>
      </c>
      <c r="AM30" s="46">
        <v>3.2</v>
      </c>
      <c r="AN30" s="46">
        <f t="shared" si="9"/>
        <v>1.6</v>
      </c>
      <c r="AO30" s="46">
        <v>31.0</v>
      </c>
      <c r="AP30" s="46">
        <v>7.3</v>
      </c>
      <c r="AQ30" s="46">
        <v>3.2</v>
      </c>
      <c r="AR30" s="46">
        <f t="shared" si="13"/>
        <v>1.6</v>
      </c>
      <c r="AS30" s="46">
        <v>31.3</v>
      </c>
      <c r="AT30" s="46">
        <v>7.5</v>
      </c>
      <c r="AU30" s="46">
        <v>2.99</v>
      </c>
      <c r="AV30" s="46">
        <f t="shared" si="14"/>
        <v>1.495</v>
      </c>
      <c r="AW30" s="46">
        <v>31.4</v>
      </c>
      <c r="AX30" s="46">
        <v>7.6</v>
      </c>
      <c r="AY30" s="46">
        <v>3.04</v>
      </c>
      <c r="AZ30" s="46">
        <f t="shared" si="15"/>
        <v>1.52</v>
      </c>
      <c r="BA30" s="46">
        <v>32.7</v>
      </c>
      <c r="BB30" s="46">
        <v>28890.0</v>
      </c>
      <c r="BC30" s="46">
        <v>28.1</v>
      </c>
      <c r="BD30" s="46">
        <v>71.7</v>
      </c>
    </row>
    <row r="31">
      <c r="A31" s="48" t="s">
        <v>63</v>
      </c>
      <c r="B31" s="44" t="s">
        <v>41</v>
      </c>
      <c r="C31" s="44" t="s">
        <v>41</v>
      </c>
      <c r="D31" s="44" t="s">
        <v>41</v>
      </c>
      <c r="E31" s="44" t="s">
        <v>41</v>
      </c>
      <c r="F31" s="44" t="s">
        <v>41</v>
      </c>
      <c r="G31" s="44" t="s">
        <v>41</v>
      </c>
      <c r="H31" s="44" t="s">
        <v>41</v>
      </c>
      <c r="I31" s="44" t="s">
        <v>41</v>
      </c>
      <c r="J31" s="44" t="s">
        <v>41</v>
      </c>
      <c r="K31" s="44" t="s">
        <v>41</v>
      </c>
      <c r="L31" s="44" t="s">
        <v>41</v>
      </c>
      <c r="M31" s="44" t="s">
        <v>41</v>
      </c>
      <c r="N31" s="44" t="s">
        <v>41</v>
      </c>
      <c r="O31" s="44" t="s">
        <v>41</v>
      </c>
      <c r="P31" s="44" t="s">
        <v>41</v>
      </c>
      <c r="Q31" s="44" t="s">
        <v>41</v>
      </c>
      <c r="R31" s="44" t="s">
        <v>41</v>
      </c>
      <c r="S31" s="44" t="s">
        <v>41</v>
      </c>
      <c r="T31" s="44" t="s">
        <v>41</v>
      </c>
      <c r="U31" s="44" t="s">
        <v>41</v>
      </c>
      <c r="V31" s="44" t="s">
        <v>41</v>
      </c>
      <c r="W31" s="44" t="s">
        <v>41</v>
      </c>
      <c r="X31" s="44" t="s">
        <v>41</v>
      </c>
      <c r="Y31" s="44" t="s">
        <v>41</v>
      </c>
      <c r="Z31" s="46">
        <v>21050.0</v>
      </c>
      <c r="AA31" s="46">
        <v>25.4</v>
      </c>
      <c r="AB31" s="46">
        <v>68.9</v>
      </c>
      <c r="AC31" s="45"/>
      <c r="AD31" s="44" t="s">
        <v>41</v>
      </c>
      <c r="AE31" s="44" t="s">
        <v>41</v>
      </c>
      <c r="AF31" s="44" t="s">
        <v>41</v>
      </c>
      <c r="AG31" s="44" t="s">
        <v>41</v>
      </c>
      <c r="AH31" s="44" t="s">
        <v>41</v>
      </c>
      <c r="AI31" s="44" t="s">
        <v>41</v>
      </c>
      <c r="AJ31" s="44" t="s">
        <v>41</v>
      </c>
      <c r="AK31" s="44" t="s">
        <v>41</v>
      </c>
      <c r="AL31" s="44" t="s">
        <v>41</v>
      </c>
      <c r="AM31" s="44" t="s">
        <v>41</v>
      </c>
      <c r="AN31" s="44" t="s">
        <v>41</v>
      </c>
      <c r="AO31" s="44" t="s">
        <v>41</v>
      </c>
      <c r="AP31" s="44" t="s">
        <v>41</v>
      </c>
      <c r="AQ31" s="44" t="s">
        <v>41</v>
      </c>
      <c r="AR31" s="44" t="s">
        <v>41</v>
      </c>
      <c r="AS31" s="44" t="s">
        <v>41</v>
      </c>
      <c r="AT31" s="44" t="s">
        <v>41</v>
      </c>
      <c r="AU31" s="44" t="s">
        <v>41</v>
      </c>
      <c r="AV31" s="44" t="s">
        <v>41</v>
      </c>
      <c r="AW31" s="44" t="s">
        <v>41</v>
      </c>
      <c r="AX31" s="44" t="s">
        <v>41</v>
      </c>
      <c r="AY31" s="44" t="s">
        <v>41</v>
      </c>
      <c r="AZ31" s="44" t="s">
        <v>41</v>
      </c>
      <c r="BA31" s="44" t="s">
        <v>41</v>
      </c>
      <c r="BB31" s="46">
        <v>33430.0</v>
      </c>
      <c r="BC31" s="46">
        <v>28.5</v>
      </c>
      <c r="BD31" s="46">
        <v>70.1</v>
      </c>
    </row>
    <row r="32">
      <c r="A32" s="48" t="s">
        <v>64</v>
      </c>
      <c r="B32" s="44" t="s">
        <v>41</v>
      </c>
      <c r="C32" s="44" t="s">
        <v>41</v>
      </c>
      <c r="D32" s="44" t="s">
        <v>41</v>
      </c>
      <c r="E32" s="44" t="s">
        <v>41</v>
      </c>
      <c r="F32" s="44" t="s">
        <v>41</v>
      </c>
      <c r="G32" s="44" t="s">
        <v>41</v>
      </c>
      <c r="H32" s="44" t="s">
        <v>41</v>
      </c>
      <c r="I32" s="44" t="s">
        <v>41</v>
      </c>
      <c r="J32" s="44" t="s">
        <v>41</v>
      </c>
      <c r="K32" s="44" t="s">
        <v>41</v>
      </c>
      <c r="L32" s="44" t="s">
        <v>41</v>
      </c>
      <c r="M32" s="44" t="s">
        <v>41</v>
      </c>
      <c r="N32" s="44" t="s">
        <v>41</v>
      </c>
      <c r="O32" s="44" t="s">
        <v>41</v>
      </c>
      <c r="P32" s="44" t="s">
        <v>41</v>
      </c>
      <c r="Q32" s="44" t="s">
        <v>41</v>
      </c>
      <c r="R32" s="44" t="s">
        <v>41</v>
      </c>
      <c r="S32" s="44" t="s">
        <v>41</v>
      </c>
      <c r="T32" s="44" t="s">
        <v>41</v>
      </c>
      <c r="U32" s="44" t="s">
        <v>41</v>
      </c>
      <c r="V32" s="44" t="s">
        <v>41</v>
      </c>
      <c r="W32" s="44" t="s">
        <v>41</v>
      </c>
      <c r="X32" s="44" t="s">
        <v>41</v>
      </c>
      <c r="Y32" s="44" t="s">
        <v>41</v>
      </c>
      <c r="Z32" s="46">
        <v>13890.0</v>
      </c>
      <c r="AA32" s="46">
        <v>27.7</v>
      </c>
      <c r="AB32" s="46">
        <v>74.7</v>
      </c>
      <c r="AC32" s="45"/>
      <c r="AD32" s="46">
        <v>7.1</v>
      </c>
      <c r="AE32" s="46">
        <v>3.25</v>
      </c>
      <c r="AF32" s="46">
        <f t="shared" ref="AF32:AF33" si="16">AE32/2</f>
        <v>1.625</v>
      </c>
      <c r="AG32" s="46">
        <v>24.1</v>
      </c>
      <c r="AH32" s="46">
        <v>7.3</v>
      </c>
      <c r="AI32" s="46">
        <v>3.32</v>
      </c>
      <c r="AJ32" s="46">
        <f t="shared" ref="AJ32:AJ33" si="17">AI32/2</f>
        <v>1.66</v>
      </c>
      <c r="AK32" s="46">
        <v>23.5</v>
      </c>
      <c r="AL32" s="46">
        <v>7.4</v>
      </c>
      <c r="AM32" s="46">
        <v>3.61</v>
      </c>
      <c r="AN32" s="46">
        <f t="shared" ref="AN32:AN33" si="18">AM32/2</f>
        <v>1.805</v>
      </c>
      <c r="AO32" s="46">
        <v>23.1</v>
      </c>
      <c r="AP32" s="46">
        <v>7.5</v>
      </c>
      <c r="AQ32" s="46">
        <v>2.73</v>
      </c>
      <c r="AR32" s="46">
        <f t="shared" ref="AR32:AR33" si="19">AQ32/2</f>
        <v>1.365</v>
      </c>
      <c r="AS32" s="46">
        <v>23.2</v>
      </c>
      <c r="AT32" s="46">
        <v>7.6</v>
      </c>
      <c r="AU32" s="46">
        <v>2.83</v>
      </c>
      <c r="AV32" s="46">
        <f t="shared" ref="AV32:AV33" si="20">AU32/2</f>
        <v>1.415</v>
      </c>
      <c r="AW32" s="46">
        <v>23.4</v>
      </c>
      <c r="AX32" s="46">
        <v>7.5</v>
      </c>
      <c r="AY32" s="46">
        <v>3.15</v>
      </c>
      <c r="AZ32" s="46">
        <f t="shared" ref="AZ32:AZ33" si="21">AY32/2</f>
        <v>1.575</v>
      </c>
      <c r="BA32" s="46">
        <v>24.3</v>
      </c>
      <c r="BB32" s="44" t="s">
        <v>41</v>
      </c>
      <c r="BC32" s="44" t="s">
        <v>41</v>
      </c>
      <c r="BD32" s="44" t="s">
        <v>41</v>
      </c>
    </row>
    <row r="33">
      <c r="A33" s="48" t="s">
        <v>65</v>
      </c>
      <c r="B33" s="46">
        <v>7.3</v>
      </c>
      <c r="C33" s="46">
        <v>3.31</v>
      </c>
      <c r="D33" s="46">
        <f t="shared" ref="D33:D34" si="22">C33/2</f>
        <v>1.655</v>
      </c>
      <c r="E33" s="46">
        <v>21.8</v>
      </c>
      <c r="F33" s="46">
        <v>7.4</v>
      </c>
      <c r="G33" s="46">
        <v>3.39</v>
      </c>
      <c r="H33" s="46">
        <f t="shared" ref="H33:H34" si="23">G33/2</f>
        <v>1.695</v>
      </c>
      <c r="I33" s="46">
        <v>21.1</v>
      </c>
      <c r="J33" s="46">
        <v>7.5</v>
      </c>
      <c r="K33" s="46">
        <v>2.99</v>
      </c>
      <c r="L33" s="46">
        <f t="shared" ref="L33:L34" si="24">K33/2</f>
        <v>1.495</v>
      </c>
      <c r="M33" s="46">
        <v>21.1</v>
      </c>
      <c r="N33" s="46">
        <v>7.5</v>
      </c>
      <c r="O33" s="46">
        <v>2.7</v>
      </c>
      <c r="P33" s="46">
        <f t="shared" ref="P33:P34" si="25">O33/2</f>
        <v>1.35</v>
      </c>
      <c r="Q33" s="46">
        <v>22.3</v>
      </c>
      <c r="R33" s="46">
        <v>7.6</v>
      </c>
      <c r="S33" s="46">
        <v>2.86</v>
      </c>
      <c r="T33" s="46">
        <f>S33/2</f>
        <v>1.43</v>
      </c>
      <c r="U33" s="46">
        <v>21.2</v>
      </c>
      <c r="V33" s="46">
        <v>7.5</v>
      </c>
      <c r="W33" s="46">
        <v>3.13</v>
      </c>
      <c r="X33" s="46">
        <f>W33/2</f>
        <v>1.565</v>
      </c>
      <c r="Y33" s="46">
        <v>22.2</v>
      </c>
      <c r="Z33" s="46"/>
      <c r="AA33" s="46"/>
      <c r="AB33" s="46"/>
      <c r="AC33" s="45"/>
      <c r="AD33" s="46">
        <v>7.3</v>
      </c>
      <c r="AE33" s="46">
        <v>3.41</v>
      </c>
      <c r="AF33" s="46">
        <f t="shared" si="16"/>
        <v>1.705</v>
      </c>
      <c r="AG33" s="46">
        <v>23.4</v>
      </c>
      <c r="AH33" s="46">
        <v>7.4</v>
      </c>
      <c r="AI33" s="46">
        <v>3.53</v>
      </c>
      <c r="AJ33" s="46">
        <f t="shared" si="17"/>
        <v>1.765</v>
      </c>
      <c r="AK33" s="46">
        <v>22.6</v>
      </c>
      <c r="AL33" s="46">
        <v>7.5</v>
      </c>
      <c r="AM33" s="46">
        <v>3.06</v>
      </c>
      <c r="AN33" s="46">
        <f t="shared" si="18"/>
        <v>1.53</v>
      </c>
      <c r="AO33" s="46">
        <v>22.1</v>
      </c>
      <c r="AP33" s="46">
        <v>7.5</v>
      </c>
      <c r="AQ33" s="46">
        <v>2.72</v>
      </c>
      <c r="AR33" s="46">
        <f t="shared" si="19"/>
        <v>1.36</v>
      </c>
      <c r="AS33" s="46">
        <v>22.3</v>
      </c>
      <c r="AT33" s="46">
        <v>7.6</v>
      </c>
      <c r="AU33" s="46">
        <v>2.82</v>
      </c>
      <c r="AV33" s="46">
        <f t="shared" si="20"/>
        <v>1.41</v>
      </c>
      <c r="AW33" s="46">
        <v>22.5</v>
      </c>
      <c r="AX33" s="46">
        <v>7.5</v>
      </c>
      <c r="AY33" s="46">
        <v>3.16</v>
      </c>
      <c r="AZ33" s="46">
        <f t="shared" si="21"/>
        <v>1.58</v>
      </c>
      <c r="BA33" s="46">
        <v>23.6</v>
      </c>
      <c r="BB33" s="44" t="s">
        <v>41</v>
      </c>
      <c r="BC33" s="44" t="s">
        <v>41</v>
      </c>
      <c r="BD33" s="44" t="s">
        <v>41</v>
      </c>
    </row>
    <row r="34">
      <c r="A34" s="48" t="s">
        <v>66</v>
      </c>
      <c r="B34" s="46">
        <v>7.4</v>
      </c>
      <c r="C34" s="46">
        <v>3.32</v>
      </c>
      <c r="D34" s="46">
        <f t="shared" si="22"/>
        <v>1.66</v>
      </c>
      <c r="E34" s="46">
        <v>22.5</v>
      </c>
      <c r="F34" s="46">
        <v>7.7</v>
      </c>
      <c r="G34" s="46">
        <v>3.46</v>
      </c>
      <c r="H34" s="46">
        <f t="shared" si="23"/>
        <v>1.73</v>
      </c>
      <c r="I34" s="46">
        <v>22.2</v>
      </c>
      <c r="J34" s="46">
        <v>7.5</v>
      </c>
      <c r="K34" s="46">
        <v>2.99</v>
      </c>
      <c r="L34" s="46">
        <f t="shared" si="24"/>
        <v>1.495</v>
      </c>
      <c r="M34" s="46">
        <v>21.1</v>
      </c>
      <c r="N34" s="46">
        <v>7.5</v>
      </c>
      <c r="O34" s="46">
        <v>2.7</v>
      </c>
      <c r="P34" s="46">
        <f t="shared" si="25"/>
        <v>1.35</v>
      </c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5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</row>
    <row r="35">
      <c r="A35" s="48" t="s">
        <v>67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5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</row>
    <row r="36">
      <c r="A36" s="48"/>
      <c r="B36" s="50">
        <f t="shared" ref="B36:AB36" si="26">average(B6:B34)</f>
        <v>6.638461538</v>
      </c>
      <c r="C36" s="50">
        <f t="shared" si="26"/>
        <v>2.341111111</v>
      </c>
      <c r="D36" s="50">
        <f t="shared" si="26"/>
        <v>1.170555556</v>
      </c>
      <c r="E36" s="50">
        <f t="shared" si="26"/>
        <v>21.79259259</v>
      </c>
      <c r="F36" s="50">
        <f t="shared" si="26"/>
        <v>6.707692308</v>
      </c>
      <c r="G36" s="50">
        <f t="shared" si="26"/>
        <v>2.720740741</v>
      </c>
      <c r="H36" s="50">
        <f t="shared" si="26"/>
        <v>1.36037037</v>
      </c>
      <c r="I36" s="50">
        <f t="shared" si="26"/>
        <v>21.65185185</v>
      </c>
      <c r="J36" s="50">
        <f t="shared" si="26"/>
        <v>6.815384615</v>
      </c>
      <c r="K36" s="50">
        <f t="shared" si="26"/>
        <v>2.38</v>
      </c>
      <c r="L36" s="50">
        <f t="shared" si="26"/>
        <v>1.19</v>
      </c>
      <c r="M36" s="50">
        <f t="shared" si="26"/>
        <v>21.34814815</v>
      </c>
      <c r="N36" s="51">
        <f t="shared" si="26"/>
        <v>7.096296296</v>
      </c>
      <c r="O36" s="51">
        <f t="shared" si="26"/>
        <v>2.28</v>
      </c>
      <c r="P36" s="51">
        <f t="shared" si="26"/>
        <v>1.14</v>
      </c>
      <c r="Q36" s="51">
        <f t="shared" si="26"/>
        <v>21.29230769</v>
      </c>
      <c r="R36" s="51">
        <f t="shared" si="26"/>
        <v>7.396</v>
      </c>
      <c r="S36" s="51">
        <f t="shared" si="26"/>
        <v>2.321153846</v>
      </c>
      <c r="T36" s="51">
        <f t="shared" si="26"/>
        <v>1.160576923</v>
      </c>
      <c r="U36" s="51">
        <f t="shared" si="26"/>
        <v>21.87307692</v>
      </c>
      <c r="V36" s="51">
        <f t="shared" si="26"/>
        <v>7.428</v>
      </c>
      <c r="W36" s="51">
        <f t="shared" si="26"/>
        <v>2.400769231</v>
      </c>
      <c r="X36" s="51">
        <f t="shared" si="26"/>
        <v>1.200384615</v>
      </c>
      <c r="Y36" s="51">
        <f t="shared" si="26"/>
        <v>21.70833333</v>
      </c>
      <c r="Z36" s="50">
        <f t="shared" si="26"/>
        <v>17514.09524</v>
      </c>
      <c r="AA36" s="50">
        <f t="shared" si="26"/>
        <v>26.21428571</v>
      </c>
      <c r="AB36" s="50">
        <f t="shared" si="26"/>
        <v>69.15714286</v>
      </c>
      <c r="AC36" s="45"/>
      <c r="AD36" s="50">
        <f t="shared" ref="AD36:BD36" si="27">average(AD4:AD33)</f>
        <v>6.657692308</v>
      </c>
      <c r="AE36" s="50">
        <f t="shared" si="27"/>
        <v>2.348461538</v>
      </c>
      <c r="AF36" s="50">
        <f t="shared" si="27"/>
        <v>1.174230769</v>
      </c>
      <c r="AG36" s="50">
        <f t="shared" si="27"/>
        <v>23.96538462</v>
      </c>
      <c r="AH36" s="50">
        <f t="shared" si="27"/>
        <v>6.738461538</v>
      </c>
      <c r="AI36" s="50">
        <f t="shared" si="27"/>
        <v>2.722307692</v>
      </c>
      <c r="AJ36" s="50">
        <f t="shared" si="27"/>
        <v>1.361153846</v>
      </c>
      <c r="AK36" s="50">
        <f t="shared" si="27"/>
        <v>23.67307692</v>
      </c>
      <c r="AL36" s="50">
        <f t="shared" si="27"/>
        <v>6.842307692</v>
      </c>
      <c r="AM36" s="50">
        <f t="shared" si="27"/>
        <v>2.362307692</v>
      </c>
      <c r="AN36" s="50">
        <f t="shared" si="27"/>
        <v>1.181153846</v>
      </c>
      <c r="AO36" s="50">
        <f t="shared" si="27"/>
        <v>23.384</v>
      </c>
      <c r="AP36" s="51">
        <f t="shared" si="27"/>
        <v>7.272</v>
      </c>
      <c r="AQ36" s="51">
        <f t="shared" si="27"/>
        <v>2.2132</v>
      </c>
      <c r="AR36" s="51">
        <f t="shared" si="27"/>
        <v>1.1066</v>
      </c>
      <c r="AS36" s="51">
        <f t="shared" si="27"/>
        <v>23.36</v>
      </c>
      <c r="AT36" s="51">
        <f t="shared" si="27"/>
        <v>7.384</v>
      </c>
      <c r="AU36" s="51">
        <f t="shared" si="27"/>
        <v>2.264</v>
      </c>
      <c r="AV36" s="51">
        <f t="shared" si="27"/>
        <v>1.132</v>
      </c>
      <c r="AW36" s="51">
        <f t="shared" si="27"/>
        <v>23.688</v>
      </c>
      <c r="AX36" s="51">
        <f t="shared" si="27"/>
        <v>7.412</v>
      </c>
      <c r="AY36" s="51">
        <f t="shared" si="27"/>
        <v>2.34</v>
      </c>
      <c r="AZ36" s="51">
        <f t="shared" si="27"/>
        <v>1.17</v>
      </c>
      <c r="BA36" s="51">
        <f t="shared" si="27"/>
        <v>24.076</v>
      </c>
      <c r="BB36" s="50">
        <f t="shared" si="27"/>
        <v>24330.61905</v>
      </c>
      <c r="BC36" s="50">
        <f t="shared" si="27"/>
        <v>29.35238095</v>
      </c>
      <c r="BD36" s="50">
        <f t="shared" si="27"/>
        <v>61.53333333</v>
      </c>
    </row>
  </sheetData>
  <mergeCells count="23">
    <mergeCell ref="AB2:AB3"/>
    <mergeCell ref="AD2:AG2"/>
    <mergeCell ref="B1:Y1"/>
    <mergeCell ref="Z1:AB1"/>
    <mergeCell ref="AC1:AC3"/>
    <mergeCell ref="AD1:BA1"/>
    <mergeCell ref="BB1:BD1"/>
    <mergeCell ref="B2:E2"/>
    <mergeCell ref="F2:I2"/>
    <mergeCell ref="J2:M2"/>
    <mergeCell ref="N2:Q2"/>
    <mergeCell ref="R2:U2"/>
    <mergeCell ref="V2:Y2"/>
    <mergeCell ref="Z2:Z3"/>
    <mergeCell ref="AA2:AA3"/>
    <mergeCell ref="AH2:AK2"/>
    <mergeCell ref="AL2:AO2"/>
    <mergeCell ref="AP2:AS2"/>
    <mergeCell ref="AT2:AW2"/>
    <mergeCell ref="AX2:BA2"/>
    <mergeCell ref="BB2:BB3"/>
    <mergeCell ref="BC2:BC3"/>
    <mergeCell ref="BD2:B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23</v>
      </c>
      <c r="B1" s="53" t="s">
        <v>68</v>
      </c>
      <c r="C1" s="12"/>
      <c r="D1" s="12"/>
      <c r="E1" s="12"/>
      <c r="F1" s="12"/>
      <c r="G1" s="54"/>
      <c r="I1" s="55" t="s">
        <v>23</v>
      </c>
      <c r="J1" s="56" t="s">
        <v>69</v>
      </c>
      <c r="K1" s="12"/>
      <c r="L1" s="12"/>
      <c r="M1" s="12"/>
      <c r="N1" s="12"/>
      <c r="O1" s="54"/>
      <c r="Q1" s="55" t="s">
        <v>23</v>
      </c>
      <c r="R1" s="56" t="s">
        <v>70</v>
      </c>
      <c r="S1" s="12"/>
      <c r="T1" s="12"/>
      <c r="U1" s="12"/>
      <c r="V1" s="12"/>
      <c r="W1" s="54"/>
    </row>
    <row r="2">
      <c r="B2" s="57" t="s">
        <v>21</v>
      </c>
      <c r="C2" s="57" t="s">
        <v>33</v>
      </c>
      <c r="D2" s="57" t="s">
        <v>34</v>
      </c>
      <c r="E2" s="57" t="s">
        <v>35</v>
      </c>
      <c r="F2" s="57" t="s">
        <v>36</v>
      </c>
      <c r="G2" s="57" t="s">
        <v>37</v>
      </c>
      <c r="I2" s="41"/>
      <c r="J2" s="57" t="s">
        <v>21</v>
      </c>
      <c r="K2" s="57" t="s">
        <v>33</v>
      </c>
      <c r="L2" s="57" t="s">
        <v>34</v>
      </c>
      <c r="M2" s="57" t="s">
        <v>35</v>
      </c>
      <c r="N2" s="57" t="s">
        <v>36</v>
      </c>
      <c r="O2" s="57" t="s">
        <v>37</v>
      </c>
      <c r="Q2" s="41"/>
      <c r="R2" s="57" t="s">
        <v>21</v>
      </c>
      <c r="S2" s="57" t="s">
        <v>33</v>
      </c>
      <c r="T2" s="57" t="s">
        <v>34</v>
      </c>
      <c r="U2" s="57" t="s">
        <v>35</v>
      </c>
      <c r="V2" s="57" t="s">
        <v>36</v>
      </c>
      <c r="W2" s="57" t="s">
        <v>37</v>
      </c>
    </row>
    <row r="3">
      <c r="A3" s="58">
        <v>45431.0</v>
      </c>
      <c r="B3" s="16">
        <v>180.0</v>
      </c>
      <c r="C3" s="16">
        <v>180.0</v>
      </c>
      <c r="D3" s="16">
        <v>180.0</v>
      </c>
      <c r="E3" s="16">
        <v>180.0</v>
      </c>
      <c r="F3" s="16">
        <v>180.0</v>
      </c>
      <c r="G3" s="16">
        <v>180.0</v>
      </c>
      <c r="H3" s="59"/>
      <c r="I3" s="58">
        <v>45431.0</v>
      </c>
      <c r="J3" s="16">
        <v>100.0</v>
      </c>
      <c r="K3" s="16">
        <v>100.0</v>
      </c>
      <c r="L3" s="16">
        <v>100.0</v>
      </c>
      <c r="M3" s="60">
        <v>100.0</v>
      </c>
      <c r="N3" s="16">
        <v>100.0</v>
      </c>
      <c r="O3" s="16">
        <v>100.0</v>
      </c>
      <c r="Q3" s="61" t="s">
        <v>71</v>
      </c>
      <c r="R3" s="16">
        <v>15.0</v>
      </c>
      <c r="S3" s="16">
        <v>15.0</v>
      </c>
      <c r="T3" s="16">
        <v>15.0</v>
      </c>
      <c r="U3" s="16">
        <v>15.0</v>
      </c>
      <c r="V3" s="16">
        <v>15.0</v>
      </c>
      <c r="W3" s="16">
        <v>15.0</v>
      </c>
    </row>
    <row r="4">
      <c r="A4" s="58">
        <v>45448.0</v>
      </c>
      <c r="B4" s="16">
        <v>197.0</v>
      </c>
      <c r="C4" s="16">
        <v>173.0</v>
      </c>
      <c r="D4" s="16">
        <v>187.0</v>
      </c>
      <c r="E4" s="16">
        <v>188.0</v>
      </c>
      <c r="F4" s="16">
        <v>187.0</v>
      </c>
      <c r="G4" s="16">
        <v>190.0</v>
      </c>
      <c r="H4" s="59"/>
      <c r="I4" s="58">
        <v>45448.0</v>
      </c>
      <c r="J4" s="16">
        <v>45.0</v>
      </c>
      <c r="K4" s="16">
        <v>40.0</v>
      </c>
      <c r="L4" s="16">
        <v>30.0</v>
      </c>
      <c r="M4" s="60">
        <v>30.0</v>
      </c>
      <c r="N4" s="16">
        <v>35.0</v>
      </c>
      <c r="O4" s="16">
        <v>40.0</v>
      </c>
      <c r="Q4" s="62">
        <v>45418.0</v>
      </c>
      <c r="R4" s="16">
        <v>15.0</v>
      </c>
      <c r="S4" s="16">
        <v>15.0</v>
      </c>
      <c r="T4" s="16">
        <v>15.0</v>
      </c>
      <c r="U4" s="16">
        <v>15.0</v>
      </c>
      <c r="V4" s="16">
        <v>15.0</v>
      </c>
      <c r="W4" s="16">
        <v>15.0</v>
      </c>
    </row>
    <row r="5">
      <c r="A5" s="60"/>
      <c r="B5" s="63"/>
      <c r="C5" s="60"/>
      <c r="D5" s="60"/>
      <c r="E5" s="60"/>
      <c r="F5" s="60"/>
      <c r="G5" s="60"/>
      <c r="H5" s="59"/>
      <c r="I5" s="64" t="s">
        <v>61</v>
      </c>
      <c r="J5" s="16">
        <v>50.0</v>
      </c>
      <c r="K5" s="16">
        <v>50.0</v>
      </c>
      <c r="L5" s="16">
        <v>50.0</v>
      </c>
      <c r="M5" s="16">
        <v>50.0</v>
      </c>
      <c r="N5" s="16">
        <v>50.0</v>
      </c>
      <c r="O5" s="16">
        <v>50.0</v>
      </c>
      <c r="Q5" s="64"/>
      <c r="R5" s="16"/>
      <c r="S5" s="16"/>
      <c r="T5" s="16"/>
      <c r="U5" s="16"/>
      <c r="V5" s="16"/>
      <c r="W5" s="16"/>
    </row>
    <row r="6">
      <c r="A6" s="60"/>
      <c r="B6" s="60"/>
      <c r="C6" s="60"/>
      <c r="D6" s="60"/>
      <c r="E6" s="60"/>
      <c r="F6" s="60"/>
      <c r="G6" s="60"/>
      <c r="H6" s="59"/>
      <c r="I6" s="65"/>
      <c r="J6" s="60"/>
      <c r="K6" s="60"/>
      <c r="L6" s="60"/>
      <c r="M6" s="60"/>
      <c r="N6" s="60"/>
      <c r="O6" s="60"/>
      <c r="Q6" s="65"/>
      <c r="R6" s="60"/>
      <c r="S6" s="60"/>
      <c r="T6" s="60"/>
      <c r="U6" s="60"/>
      <c r="V6" s="60"/>
      <c r="W6" s="60"/>
    </row>
    <row r="7">
      <c r="A7" s="60"/>
      <c r="B7" s="60"/>
      <c r="C7" s="60"/>
      <c r="D7" s="60"/>
      <c r="E7" s="60"/>
      <c r="F7" s="60"/>
      <c r="G7" s="60"/>
      <c r="H7" s="59"/>
      <c r="I7" s="60"/>
      <c r="J7" s="60"/>
      <c r="K7" s="60"/>
      <c r="L7" s="60"/>
      <c r="M7" s="60"/>
      <c r="N7" s="60"/>
      <c r="O7" s="60"/>
      <c r="Q7" s="60"/>
      <c r="R7" s="60"/>
      <c r="S7" s="60"/>
      <c r="T7" s="60"/>
      <c r="U7" s="60"/>
      <c r="V7" s="60"/>
      <c r="W7" s="60"/>
    </row>
    <row r="8">
      <c r="A8" s="60"/>
      <c r="B8" s="60"/>
      <c r="C8" s="60"/>
      <c r="D8" s="60"/>
      <c r="E8" s="60"/>
      <c r="F8" s="60"/>
      <c r="G8" s="60"/>
      <c r="H8" s="59"/>
      <c r="I8" s="60"/>
      <c r="J8" s="60"/>
      <c r="K8" s="60"/>
      <c r="L8" s="60"/>
      <c r="M8" s="60"/>
      <c r="N8" s="60"/>
      <c r="O8" s="60"/>
      <c r="Q8" s="60"/>
      <c r="R8" s="60"/>
      <c r="S8" s="60"/>
      <c r="T8" s="60"/>
      <c r="U8" s="60"/>
      <c r="V8" s="60"/>
      <c r="W8" s="60"/>
    </row>
    <row r="9">
      <c r="A9" s="60"/>
      <c r="B9" s="60"/>
      <c r="C9" s="60"/>
      <c r="D9" s="60"/>
      <c r="E9" s="60"/>
      <c r="F9" s="60"/>
      <c r="G9" s="60"/>
      <c r="H9" s="59"/>
      <c r="I9" s="60"/>
      <c r="J9" s="60"/>
      <c r="K9" s="60"/>
      <c r="L9" s="60"/>
      <c r="M9" s="60"/>
      <c r="N9" s="60"/>
      <c r="O9" s="60"/>
      <c r="Q9" s="60"/>
      <c r="R9" s="60"/>
      <c r="S9" s="60"/>
      <c r="T9" s="60"/>
      <c r="U9" s="60"/>
      <c r="V9" s="60"/>
      <c r="W9" s="60"/>
    </row>
    <row r="10">
      <c r="A10" s="60"/>
      <c r="B10" s="60"/>
      <c r="C10" s="60"/>
      <c r="D10" s="60"/>
      <c r="E10" s="60"/>
      <c r="F10" s="60"/>
      <c r="G10" s="60"/>
      <c r="H10" s="59"/>
      <c r="I10" s="60"/>
      <c r="J10" s="60"/>
      <c r="K10" s="60"/>
      <c r="L10" s="60"/>
      <c r="M10" s="60"/>
      <c r="N10" s="60"/>
      <c r="O10" s="60"/>
      <c r="Q10" s="60"/>
      <c r="R10" s="60"/>
      <c r="S10" s="60"/>
      <c r="T10" s="60"/>
      <c r="U10" s="60"/>
      <c r="V10" s="60"/>
      <c r="W10" s="60"/>
    </row>
    <row r="11">
      <c r="A11" s="60"/>
      <c r="B11" s="60"/>
      <c r="C11" s="60"/>
      <c r="D11" s="60"/>
      <c r="E11" s="60"/>
      <c r="F11" s="60"/>
      <c r="G11" s="60"/>
      <c r="H11" s="59"/>
      <c r="I11" s="60"/>
      <c r="J11" s="60"/>
      <c r="K11" s="60"/>
      <c r="L11" s="60"/>
      <c r="M11" s="60"/>
      <c r="N11" s="60"/>
      <c r="O11" s="60"/>
      <c r="Q11" s="60"/>
      <c r="R11" s="60"/>
      <c r="S11" s="60"/>
      <c r="T11" s="60"/>
      <c r="U11" s="60"/>
      <c r="V11" s="60"/>
      <c r="W11" s="60"/>
    </row>
    <row r="12">
      <c r="A12" s="59"/>
    </row>
    <row r="13">
      <c r="A13" s="66" t="s">
        <v>72</v>
      </c>
      <c r="B13" s="60">
        <f t="shared" ref="B13:G13" si="1">SUM(B3:B11)</f>
        <v>377</v>
      </c>
      <c r="C13" s="60">
        <f t="shared" si="1"/>
        <v>353</v>
      </c>
      <c r="D13" s="60">
        <f t="shared" si="1"/>
        <v>367</v>
      </c>
      <c r="E13" s="60">
        <f t="shared" si="1"/>
        <v>368</v>
      </c>
      <c r="F13" s="60">
        <f t="shared" si="1"/>
        <v>367</v>
      </c>
      <c r="G13" s="60">
        <f t="shared" si="1"/>
        <v>370</v>
      </c>
      <c r="I13" s="66" t="s">
        <v>72</v>
      </c>
      <c r="J13" s="60">
        <f t="shared" ref="J13:O13" si="2">SUM(J3:J11)</f>
        <v>195</v>
      </c>
      <c r="K13" s="60">
        <f t="shared" si="2"/>
        <v>190</v>
      </c>
      <c r="L13" s="60">
        <f t="shared" si="2"/>
        <v>180</v>
      </c>
      <c r="M13" s="60">
        <f t="shared" si="2"/>
        <v>180</v>
      </c>
      <c r="N13" s="60">
        <f t="shared" si="2"/>
        <v>185</v>
      </c>
      <c r="O13" s="60">
        <f t="shared" si="2"/>
        <v>190</v>
      </c>
      <c r="Q13" s="66" t="s">
        <v>72</v>
      </c>
      <c r="R13" s="60">
        <f t="shared" ref="R13:W13" si="3">SUM(R3:R11)</f>
        <v>30</v>
      </c>
      <c r="S13" s="60">
        <f t="shared" si="3"/>
        <v>30</v>
      </c>
      <c r="T13" s="60">
        <f t="shared" si="3"/>
        <v>30</v>
      </c>
      <c r="U13" s="60">
        <f t="shared" si="3"/>
        <v>30</v>
      </c>
      <c r="V13" s="60">
        <f t="shared" si="3"/>
        <v>30</v>
      </c>
      <c r="W13" s="60">
        <f t="shared" si="3"/>
        <v>30</v>
      </c>
    </row>
    <row r="14">
      <c r="A14" s="59"/>
    </row>
    <row r="15">
      <c r="A15" s="59"/>
    </row>
    <row r="16">
      <c r="A16" s="59"/>
    </row>
    <row r="17">
      <c r="A17" s="59"/>
    </row>
    <row r="18">
      <c r="A18" s="59"/>
    </row>
    <row r="19">
      <c r="A19" s="59"/>
    </row>
    <row r="20">
      <c r="A20" s="59"/>
    </row>
    <row r="21">
      <c r="A21" s="59"/>
    </row>
    <row r="22">
      <c r="A22" s="59"/>
    </row>
    <row r="23">
      <c r="A23" s="59"/>
    </row>
    <row r="24">
      <c r="A24" s="59"/>
    </row>
    <row r="25">
      <c r="A25" s="59"/>
    </row>
    <row r="26">
      <c r="A26" s="59"/>
    </row>
    <row r="27">
      <c r="A27" s="59"/>
    </row>
    <row r="28">
      <c r="A28" s="59"/>
    </row>
    <row r="29">
      <c r="A29" s="59"/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</sheetData>
  <mergeCells count="6">
    <mergeCell ref="A1:A2"/>
    <mergeCell ref="B1:G1"/>
    <mergeCell ref="I1:I2"/>
    <mergeCell ref="J1:O1"/>
    <mergeCell ref="Q1:Q2"/>
    <mergeCell ref="R1:W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14.5"/>
    <col customWidth="1" min="4" max="5" width="15.13"/>
    <col customWidth="1" min="6" max="6" width="14.25"/>
    <col customWidth="1" min="7" max="8" width="16.5"/>
    <col customWidth="1" min="9" max="9" width="38.25"/>
    <col customWidth="1" min="10" max="11" width="36.13"/>
  </cols>
  <sheetData>
    <row r="1">
      <c r="A1" s="67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68"/>
      <c r="B2" s="69"/>
      <c r="C2" s="69"/>
      <c r="D2" s="69"/>
      <c r="E2" s="69"/>
      <c r="F2" s="69"/>
      <c r="G2" s="69"/>
      <c r="H2" s="69"/>
      <c r="I2" s="69"/>
      <c r="J2" s="70"/>
      <c r="K2" s="70"/>
      <c r="L2" s="6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71" t="s">
        <v>74</v>
      </c>
      <c r="B3" s="72" t="s">
        <v>75</v>
      </c>
      <c r="C3" s="72" t="s">
        <v>76</v>
      </c>
      <c r="D3" s="72" t="s">
        <v>3</v>
      </c>
      <c r="E3" s="72" t="s">
        <v>4</v>
      </c>
      <c r="F3" s="72" t="s">
        <v>77</v>
      </c>
      <c r="G3" s="72" t="s">
        <v>7</v>
      </c>
      <c r="H3" s="72" t="s">
        <v>78</v>
      </c>
      <c r="I3" s="72" t="s">
        <v>79</v>
      </c>
      <c r="J3" s="72" t="s">
        <v>80</v>
      </c>
      <c r="K3" s="72" t="s">
        <v>81</v>
      </c>
      <c r="L3" s="73" t="s">
        <v>82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74" t="s">
        <v>83</v>
      </c>
      <c r="B4" s="8">
        <v>1.0</v>
      </c>
      <c r="C4" s="8">
        <v>60.0</v>
      </c>
      <c r="D4" s="8">
        <v>20.0</v>
      </c>
      <c r="E4" s="8">
        <f t="shared" ref="E4:E15" si="1">Minus(C4,D4)</f>
        <v>40</v>
      </c>
      <c r="F4" s="8" t="s">
        <v>84</v>
      </c>
      <c r="G4" s="8">
        <v>328.0</v>
      </c>
      <c r="H4" s="8">
        <v>1.0</v>
      </c>
      <c r="I4" s="8">
        <v>271.0</v>
      </c>
      <c r="J4" s="8">
        <v>269.0</v>
      </c>
      <c r="K4" s="8">
        <f t="shared" ref="K4:K15" si="2">Minus(G4,I4)</f>
        <v>57</v>
      </c>
      <c r="L4" s="8">
        <v>42.0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75"/>
      <c r="B5" s="8">
        <v>2.0</v>
      </c>
      <c r="C5" s="8">
        <v>60.0</v>
      </c>
      <c r="D5" s="8">
        <v>19.0</v>
      </c>
      <c r="E5" s="8">
        <f t="shared" si="1"/>
        <v>41</v>
      </c>
      <c r="F5" s="8" t="s">
        <v>85</v>
      </c>
      <c r="G5" s="8">
        <v>252.0</v>
      </c>
      <c r="H5" s="8">
        <v>1.5</v>
      </c>
      <c r="I5" s="8">
        <v>244.0</v>
      </c>
      <c r="J5" s="8">
        <v>243.0</v>
      </c>
      <c r="K5" s="8">
        <f t="shared" si="2"/>
        <v>8</v>
      </c>
      <c r="L5" s="8">
        <v>46.0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75"/>
      <c r="B6" s="8">
        <v>3.0</v>
      </c>
      <c r="C6" s="8">
        <v>75.0</v>
      </c>
      <c r="D6" s="8">
        <v>17.0</v>
      </c>
      <c r="E6" s="8">
        <f t="shared" si="1"/>
        <v>58</v>
      </c>
      <c r="F6" s="8" t="s">
        <v>86</v>
      </c>
      <c r="G6" s="8">
        <v>294.0</v>
      </c>
      <c r="H6" s="8">
        <v>1.0</v>
      </c>
      <c r="I6" s="8">
        <v>239.0</v>
      </c>
      <c r="J6" s="8">
        <v>237.0</v>
      </c>
      <c r="K6" s="8">
        <f t="shared" si="2"/>
        <v>55</v>
      </c>
      <c r="L6" s="8">
        <v>43.0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75"/>
      <c r="B7" s="8">
        <v>4.0</v>
      </c>
      <c r="C7" s="8">
        <v>100.0</v>
      </c>
      <c r="D7" s="8">
        <v>17.0</v>
      </c>
      <c r="E7" s="8">
        <f t="shared" si="1"/>
        <v>83</v>
      </c>
      <c r="F7" s="8" t="s">
        <v>87</v>
      </c>
      <c r="G7" s="8">
        <v>331.0</v>
      </c>
      <c r="H7" s="8">
        <v>1.5</v>
      </c>
      <c r="I7" s="8">
        <v>295.0</v>
      </c>
      <c r="J7" s="8">
        <v>292.0</v>
      </c>
      <c r="K7" s="8">
        <f t="shared" si="2"/>
        <v>36</v>
      </c>
      <c r="L7" s="76">
        <v>40.0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75"/>
      <c r="B8" s="8">
        <v>5.0</v>
      </c>
      <c r="C8" s="8">
        <v>72.0</v>
      </c>
      <c r="D8" s="8">
        <v>15.0</v>
      </c>
      <c r="E8" s="8">
        <f t="shared" si="1"/>
        <v>57</v>
      </c>
      <c r="F8" s="8" t="s">
        <v>84</v>
      </c>
      <c r="G8" s="8">
        <v>357.0</v>
      </c>
      <c r="H8" s="8">
        <v>1.0</v>
      </c>
      <c r="I8" s="8">
        <v>317.0</v>
      </c>
      <c r="J8" s="8">
        <v>317.0</v>
      </c>
      <c r="K8" s="8">
        <f t="shared" si="2"/>
        <v>40</v>
      </c>
      <c r="L8" s="8">
        <v>46.0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75"/>
      <c r="B9" s="8">
        <v>6.0</v>
      </c>
      <c r="C9" s="8">
        <v>76.0</v>
      </c>
      <c r="D9" s="8">
        <v>16.0</v>
      </c>
      <c r="E9" s="8">
        <f t="shared" si="1"/>
        <v>60</v>
      </c>
      <c r="F9" s="8" t="s">
        <v>88</v>
      </c>
      <c r="G9" s="8">
        <v>343.0</v>
      </c>
      <c r="H9" s="8">
        <v>1.2</v>
      </c>
      <c r="I9" s="8">
        <v>305.0</v>
      </c>
      <c r="J9" s="8">
        <v>304.0</v>
      </c>
      <c r="K9" s="8">
        <f t="shared" si="2"/>
        <v>38</v>
      </c>
      <c r="L9" s="8">
        <v>36.0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75"/>
      <c r="B10" s="8">
        <v>7.0</v>
      </c>
      <c r="C10" s="8">
        <v>80.0</v>
      </c>
      <c r="D10" s="8">
        <v>17.0</v>
      </c>
      <c r="E10" s="8">
        <f t="shared" si="1"/>
        <v>63</v>
      </c>
      <c r="F10" s="8" t="s">
        <v>85</v>
      </c>
      <c r="G10" s="8">
        <v>336.0</v>
      </c>
      <c r="H10" s="8">
        <v>1.0</v>
      </c>
      <c r="I10" s="8">
        <v>290.0</v>
      </c>
      <c r="J10" s="8">
        <v>290.0</v>
      </c>
      <c r="K10" s="8">
        <f t="shared" si="2"/>
        <v>46</v>
      </c>
      <c r="L10" s="8">
        <v>46.0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75"/>
      <c r="B11" s="8">
        <v>8.0</v>
      </c>
      <c r="C11" s="76">
        <v>54.0</v>
      </c>
      <c r="D11" s="8">
        <v>16.0</v>
      </c>
      <c r="E11" s="8">
        <f t="shared" si="1"/>
        <v>38</v>
      </c>
      <c r="F11" s="8" t="s">
        <v>87</v>
      </c>
      <c r="G11" s="8">
        <v>370.0</v>
      </c>
      <c r="H11" s="8">
        <v>1.0</v>
      </c>
      <c r="I11" s="8">
        <v>330.0</v>
      </c>
      <c r="J11" s="8">
        <v>324.0</v>
      </c>
      <c r="K11" s="8">
        <f t="shared" si="2"/>
        <v>40</v>
      </c>
      <c r="L11" s="8">
        <v>49.0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75"/>
      <c r="B12" s="8">
        <v>9.0</v>
      </c>
      <c r="C12" s="8">
        <v>72.0</v>
      </c>
      <c r="D12" s="8">
        <v>15.0</v>
      </c>
      <c r="E12" s="8">
        <f t="shared" si="1"/>
        <v>57</v>
      </c>
      <c r="F12" s="8" t="s">
        <v>89</v>
      </c>
      <c r="G12" s="8">
        <v>292.0</v>
      </c>
      <c r="H12" s="8">
        <v>1.5</v>
      </c>
      <c r="I12" s="8">
        <v>255.0</v>
      </c>
      <c r="J12" s="8">
        <v>252.0</v>
      </c>
      <c r="K12" s="8">
        <f t="shared" si="2"/>
        <v>37</v>
      </c>
      <c r="L12" s="8">
        <v>43.0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75"/>
      <c r="B13" s="8">
        <v>10.0</v>
      </c>
      <c r="C13" s="8">
        <v>65.0</v>
      </c>
      <c r="D13" s="8">
        <v>17.0</v>
      </c>
      <c r="E13" s="8">
        <f t="shared" si="1"/>
        <v>48</v>
      </c>
      <c r="F13" s="8" t="s">
        <v>90</v>
      </c>
      <c r="G13" s="8">
        <v>356.0</v>
      </c>
      <c r="H13" s="8">
        <v>1.0</v>
      </c>
      <c r="I13" s="8">
        <v>315.0</v>
      </c>
      <c r="J13" s="8">
        <v>300.0</v>
      </c>
      <c r="K13" s="8">
        <f t="shared" si="2"/>
        <v>41</v>
      </c>
      <c r="L13" s="8">
        <v>44.0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75"/>
      <c r="B14" s="8">
        <v>11.0</v>
      </c>
      <c r="C14" s="8">
        <v>59.0</v>
      </c>
      <c r="D14" s="76">
        <v>17.0</v>
      </c>
      <c r="E14" s="8">
        <f t="shared" si="1"/>
        <v>42</v>
      </c>
      <c r="F14" s="8" t="s">
        <v>91</v>
      </c>
      <c r="G14" s="8">
        <v>241.0</v>
      </c>
      <c r="H14" s="8">
        <v>1.0</v>
      </c>
      <c r="I14" s="8">
        <v>212.0</v>
      </c>
      <c r="J14" s="8">
        <v>208.0</v>
      </c>
      <c r="K14" s="8">
        <f t="shared" si="2"/>
        <v>29</v>
      </c>
      <c r="L14" s="8">
        <v>32.0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41"/>
      <c r="B15" s="8">
        <v>12.0</v>
      </c>
      <c r="C15" s="8">
        <v>80.0</v>
      </c>
      <c r="D15" s="8">
        <v>16.0</v>
      </c>
      <c r="E15" s="8">
        <f t="shared" si="1"/>
        <v>64</v>
      </c>
      <c r="F15" s="8" t="s">
        <v>88</v>
      </c>
      <c r="G15" s="76">
        <v>295.0</v>
      </c>
      <c r="H15" s="8">
        <v>1.0</v>
      </c>
      <c r="I15" s="8">
        <v>261.0</v>
      </c>
      <c r="J15" s="8">
        <v>261.0</v>
      </c>
      <c r="K15" s="8">
        <f t="shared" si="2"/>
        <v>34</v>
      </c>
      <c r="L15" s="8">
        <v>39.0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77"/>
      <c r="B16" s="28"/>
      <c r="C16" s="78">
        <f t="shared" ref="C16:E16" si="3">average(C4:C15)</f>
        <v>71.08333333</v>
      </c>
      <c r="D16" s="78">
        <f t="shared" si="3"/>
        <v>16.83333333</v>
      </c>
      <c r="E16" s="78">
        <f t="shared" si="3"/>
        <v>54.25</v>
      </c>
      <c r="F16" s="28"/>
      <c r="G16" s="78">
        <f t="shared" ref="G16:L16" si="4">average(G4:G15)</f>
        <v>316.25</v>
      </c>
      <c r="H16" s="78">
        <f t="shared" si="4"/>
        <v>1.141666667</v>
      </c>
      <c r="I16" s="78">
        <f t="shared" si="4"/>
        <v>277.8333333</v>
      </c>
      <c r="J16" s="78">
        <f t="shared" si="4"/>
        <v>274.75</v>
      </c>
      <c r="K16" s="78">
        <f t="shared" si="4"/>
        <v>38.41666667</v>
      </c>
      <c r="L16" s="78">
        <f t="shared" si="4"/>
        <v>42.16666667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71" t="s">
        <v>74</v>
      </c>
      <c r="B18" s="72" t="s">
        <v>75</v>
      </c>
      <c r="C18" s="72" t="s">
        <v>76</v>
      </c>
      <c r="D18" s="72" t="s">
        <v>3</v>
      </c>
      <c r="E18" s="72" t="s">
        <v>4</v>
      </c>
      <c r="F18" s="72" t="s">
        <v>77</v>
      </c>
      <c r="G18" s="72" t="s">
        <v>7</v>
      </c>
      <c r="H18" s="72" t="s">
        <v>78</v>
      </c>
      <c r="I18" s="72" t="s">
        <v>79</v>
      </c>
      <c r="J18" s="72" t="s">
        <v>80</v>
      </c>
      <c r="K18" s="72" t="s">
        <v>81</v>
      </c>
      <c r="L18" s="73" t="s">
        <v>82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74" t="s">
        <v>92</v>
      </c>
      <c r="B19" s="8">
        <v>1.0</v>
      </c>
      <c r="C19" s="8">
        <v>66.0</v>
      </c>
      <c r="D19" s="8">
        <v>18.0</v>
      </c>
      <c r="E19" s="8">
        <f t="shared" ref="E19:E30" si="5">Minus(C19,D19)</f>
        <v>48</v>
      </c>
      <c r="F19" s="8" t="s">
        <v>88</v>
      </c>
      <c r="G19" s="8">
        <v>307.0</v>
      </c>
      <c r="H19" s="8">
        <v>1.0</v>
      </c>
      <c r="I19" s="8">
        <v>271.0</v>
      </c>
      <c r="J19" s="8">
        <v>271.0</v>
      </c>
      <c r="K19" s="8">
        <f t="shared" ref="K19:K30" si="6">Minus(G19,I19)</f>
        <v>36</v>
      </c>
      <c r="L19" s="8">
        <v>40.0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75"/>
      <c r="B20" s="8">
        <v>2.0</v>
      </c>
      <c r="C20" s="8">
        <v>80.0</v>
      </c>
      <c r="D20" s="8">
        <v>19.0</v>
      </c>
      <c r="E20" s="8">
        <f t="shared" si="5"/>
        <v>61</v>
      </c>
      <c r="F20" s="8" t="s">
        <v>93</v>
      </c>
      <c r="G20" s="8">
        <v>341.0</v>
      </c>
      <c r="H20" s="8">
        <v>1.0</v>
      </c>
      <c r="I20" s="8">
        <v>304.0</v>
      </c>
      <c r="J20" s="8">
        <v>303.0</v>
      </c>
      <c r="K20" s="8">
        <f t="shared" si="6"/>
        <v>37</v>
      </c>
      <c r="L20" s="8">
        <v>41.0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75"/>
      <c r="B21" s="8">
        <v>3.0</v>
      </c>
      <c r="C21" s="8">
        <v>77.0</v>
      </c>
      <c r="D21" s="8">
        <v>18.0</v>
      </c>
      <c r="E21" s="8">
        <f t="shared" si="5"/>
        <v>59</v>
      </c>
      <c r="F21" s="8" t="s">
        <v>94</v>
      </c>
      <c r="G21" s="8">
        <v>375.0</v>
      </c>
      <c r="H21" s="8">
        <v>1.0</v>
      </c>
      <c r="I21" s="8">
        <v>323.0</v>
      </c>
      <c r="J21" s="8">
        <v>330.0</v>
      </c>
      <c r="K21" s="8">
        <f t="shared" si="6"/>
        <v>52</v>
      </c>
      <c r="L21" s="8">
        <v>45.0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75"/>
      <c r="B22" s="8">
        <v>4.0</v>
      </c>
      <c r="C22" s="8">
        <v>72.0</v>
      </c>
      <c r="D22" s="8">
        <v>18.0</v>
      </c>
      <c r="E22" s="8">
        <f t="shared" si="5"/>
        <v>54</v>
      </c>
      <c r="F22" s="8" t="s">
        <v>95</v>
      </c>
      <c r="G22" s="8">
        <v>406.0</v>
      </c>
      <c r="H22" s="8">
        <v>1.0</v>
      </c>
      <c r="I22" s="8">
        <v>362.0</v>
      </c>
      <c r="J22" s="8">
        <v>359.0</v>
      </c>
      <c r="K22" s="8">
        <f t="shared" si="6"/>
        <v>44</v>
      </c>
      <c r="L22" s="8">
        <v>47.0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75"/>
      <c r="B23" s="8">
        <v>5.0</v>
      </c>
      <c r="C23" s="8">
        <v>75.0</v>
      </c>
      <c r="D23" s="8">
        <v>20.0</v>
      </c>
      <c r="E23" s="8">
        <f t="shared" si="5"/>
        <v>55</v>
      </c>
      <c r="F23" s="8" t="s">
        <v>96</v>
      </c>
      <c r="G23" s="8">
        <v>354.0</v>
      </c>
      <c r="H23" s="8">
        <v>1.0</v>
      </c>
      <c r="I23" s="8">
        <v>310.0</v>
      </c>
      <c r="J23" s="8">
        <v>305.0</v>
      </c>
      <c r="K23" s="8">
        <f t="shared" si="6"/>
        <v>44</v>
      </c>
      <c r="L23" s="8">
        <v>44.0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75"/>
      <c r="B24" s="8">
        <v>6.0</v>
      </c>
      <c r="C24" s="8">
        <v>73.0</v>
      </c>
      <c r="D24" s="8">
        <v>16.0</v>
      </c>
      <c r="E24" s="8">
        <f t="shared" si="5"/>
        <v>57</v>
      </c>
      <c r="F24" s="8" t="s">
        <v>97</v>
      </c>
      <c r="G24" s="8">
        <v>344.0</v>
      </c>
      <c r="H24" s="8">
        <v>1.0</v>
      </c>
      <c r="I24" s="8">
        <v>304.0</v>
      </c>
      <c r="J24" s="8">
        <v>304.0</v>
      </c>
      <c r="K24" s="8">
        <f t="shared" si="6"/>
        <v>40</v>
      </c>
      <c r="L24" s="8">
        <v>48.0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75"/>
      <c r="B25" s="8">
        <v>7.0</v>
      </c>
      <c r="C25" s="8">
        <v>71.0</v>
      </c>
      <c r="D25" s="8">
        <v>18.0</v>
      </c>
      <c r="E25" s="8">
        <f t="shared" si="5"/>
        <v>53</v>
      </c>
      <c r="F25" s="8" t="s">
        <v>85</v>
      </c>
      <c r="G25" s="8">
        <v>351.0</v>
      </c>
      <c r="H25" s="8">
        <v>1.0</v>
      </c>
      <c r="I25" s="8">
        <v>314.0</v>
      </c>
      <c r="J25" s="8">
        <v>313.0</v>
      </c>
      <c r="K25" s="8">
        <f t="shared" si="6"/>
        <v>37</v>
      </c>
      <c r="L25" s="8">
        <v>45.0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75"/>
      <c r="B26" s="8">
        <v>8.0</v>
      </c>
      <c r="C26" s="8">
        <v>60.0</v>
      </c>
      <c r="D26" s="8">
        <v>21.0</v>
      </c>
      <c r="E26" s="8">
        <f t="shared" si="5"/>
        <v>39</v>
      </c>
      <c r="F26" s="8" t="s">
        <v>98</v>
      </c>
      <c r="G26" s="8">
        <v>378.0</v>
      </c>
      <c r="H26" s="8">
        <v>1.0</v>
      </c>
      <c r="I26" s="8">
        <v>335.0</v>
      </c>
      <c r="J26" s="8">
        <v>330.0</v>
      </c>
      <c r="K26" s="8">
        <f t="shared" si="6"/>
        <v>43</v>
      </c>
      <c r="L26" s="8">
        <v>44.0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75"/>
      <c r="B27" s="8">
        <v>9.0</v>
      </c>
      <c r="C27" s="8">
        <v>78.0</v>
      </c>
      <c r="D27" s="8">
        <v>21.0</v>
      </c>
      <c r="E27" s="8">
        <f t="shared" si="5"/>
        <v>57</v>
      </c>
      <c r="F27" s="8" t="s">
        <v>99</v>
      </c>
      <c r="G27" s="8">
        <v>371.0</v>
      </c>
      <c r="H27" s="8">
        <v>1.0</v>
      </c>
      <c r="I27" s="8">
        <v>333.0</v>
      </c>
      <c r="J27" s="8">
        <v>330.0</v>
      </c>
      <c r="K27" s="8">
        <f t="shared" si="6"/>
        <v>38</v>
      </c>
      <c r="L27" s="8">
        <v>49.0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75"/>
      <c r="B28" s="8">
        <v>10.0</v>
      </c>
      <c r="C28" s="8">
        <v>77.0</v>
      </c>
      <c r="D28" s="8">
        <v>23.0</v>
      </c>
      <c r="E28" s="8">
        <f t="shared" si="5"/>
        <v>54</v>
      </c>
      <c r="F28" s="8" t="s">
        <v>100</v>
      </c>
      <c r="G28" s="8">
        <v>397.0</v>
      </c>
      <c r="H28" s="8">
        <v>1.0</v>
      </c>
      <c r="I28" s="8">
        <v>352.0</v>
      </c>
      <c r="J28" s="8">
        <v>351.0</v>
      </c>
      <c r="K28" s="8">
        <f t="shared" si="6"/>
        <v>45</v>
      </c>
      <c r="L28" s="8">
        <v>44.0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75"/>
      <c r="B29" s="8">
        <v>11.0</v>
      </c>
      <c r="C29" s="76">
        <v>75.0</v>
      </c>
      <c r="D29" s="8">
        <v>21.0</v>
      </c>
      <c r="E29" s="8">
        <f t="shared" si="5"/>
        <v>54</v>
      </c>
      <c r="F29" s="8" t="s">
        <v>101</v>
      </c>
      <c r="G29" s="8">
        <v>388.0</v>
      </c>
      <c r="H29" s="8">
        <v>1.0</v>
      </c>
      <c r="I29" s="8">
        <v>342.0</v>
      </c>
      <c r="J29" s="8">
        <v>342.0</v>
      </c>
      <c r="K29" s="8">
        <f t="shared" si="6"/>
        <v>46</v>
      </c>
      <c r="L29" s="8">
        <v>46.0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41"/>
      <c r="B30" s="8">
        <v>12.0</v>
      </c>
      <c r="C30" s="8">
        <v>63.0</v>
      </c>
      <c r="D30" s="8">
        <v>19.0</v>
      </c>
      <c r="E30" s="8">
        <f t="shared" si="5"/>
        <v>44</v>
      </c>
      <c r="F30" s="8" t="s">
        <v>88</v>
      </c>
      <c r="G30" s="8">
        <v>312.0</v>
      </c>
      <c r="H30" s="8">
        <v>1.5</v>
      </c>
      <c r="I30" s="8">
        <v>274.0</v>
      </c>
      <c r="J30" s="8">
        <v>274.0</v>
      </c>
      <c r="K30" s="8">
        <f t="shared" si="6"/>
        <v>38</v>
      </c>
      <c r="L30" s="8">
        <v>41.0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77"/>
      <c r="B31" s="28"/>
      <c r="C31" s="78">
        <f t="shared" ref="C31:E31" si="7">average(C19:C30)</f>
        <v>72.25</v>
      </c>
      <c r="D31" s="78">
        <f t="shared" si="7"/>
        <v>19.33333333</v>
      </c>
      <c r="E31" s="78">
        <f t="shared" si="7"/>
        <v>52.91666667</v>
      </c>
      <c r="F31" s="28"/>
      <c r="G31" s="78">
        <f t="shared" ref="G31:L31" si="8">average(G19:G30)</f>
        <v>360.3333333</v>
      </c>
      <c r="H31" s="78">
        <f t="shared" si="8"/>
        <v>1.041666667</v>
      </c>
      <c r="I31" s="78">
        <f t="shared" si="8"/>
        <v>318.6666667</v>
      </c>
      <c r="J31" s="78">
        <f t="shared" si="8"/>
        <v>317.6666667</v>
      </c>
      <c r="K31" s="78">
        <f t="shared" si="8"/>
        <v>41.66666667</v>
      </c>
      <c r="L31" s="78">
        <f t="shared" si="8"/>
        <v>44.5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71" t="s">
        <v>74</v>
      </c>
      <c r="B33" s="72" t="s">
        <v>75</v>
      </c>
      <c r="C33" s="72" t="s">
        <v>76</v>
      </c>
      <c r="D33" s="72" t="s">
        <v>3</v>
      </c>
      <c r="E33" s="72" t="s">
        <v>4</v>
      </c>
      <c r="F33" s="72" t="s">
        <v>77</v>
      </c>
      <c r="G33" s="72" t="s">
        <v>7</v>
      </c>
      <c r="H33" s="72" t="s">
        <v>78</v>
      </c>
      <c r="I33" s="72" t="s">
        <v>79</v>
      </c>
      <c r="J33" s="72" t="s">
        <v>80</v>
      </c>
      <c r="K33" s="72" t="s">
        <v>81</v>
      </c>
      <c r="L33" s="73" t="s">
        <v>82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74" t="s">
        <v>102</v>
      </c>
      <c r="B34" s="8">
        <v>1.0</v>
      </c>
      <c r="C34" s="8">
        <v>66.0</v>
      </c>
      <c r="D34" s="8">
        <v>18.0</v>
      </c>
      <c r="E34" s="8">
        <f t="shared" ref="E34:E45" si="9">Minus(C34,D34)</f>
        <v>48</v>
      </c>
      <c r="F34" s="8" t="s">
        <v>85</v>
      </c>
      <c r="G34" s="8">
        <v>279.0</v>
      </c>
      <c r="H34" s="8">
        <v>1.2</v>
      </c>
      <c r="I34" s="8">
        <v>251.0</v>
      </c>
      <c r="J34" s="8">
        <v>249.0</v>
      </c>
      <c r="K34" s="8">
        <f t="shared" ref="K34:K45" si="10">Minus(G34,I34)</f>
        <v>28</v>
      </c>
      <c r="L34" s="8">
        <v>40.0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75"/>
      <c r="B35" s="8">
        <v>2.0</v>
      </c>
      <c r="C35" s="8">
        <v>71.0</v>
      </c>
      <c r="D35" s="8">
        <v>19.0</v>
      </c>
      <c r="E35" s="8">
        <f t="shared" si="9"/>
        <v>52</v>
      </c>
      <c r="F35" s="8" t="s">
        <v>103</v>
      </c>
      <c r="G35" s="76">
        <v>271.0</v>
      </c>
      <c r="H35" s="8">
        <v>1.0</v>
      </c>
      <c r="I35" s="76">
        <v>241.0</v>
      </c>
      <c r="J35" s="76">
        <v>240.0</v>
      </c>
      <c r="K35" s="8">
        <f t="shared" si="10"/>
        <v>30</v>
      </c>
      <c r="L35" s="8">
        <v>36.0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75"/>
      <c r="B36" s="8">
        <v>3.0</v>
      </c>
      <c r="C36" s="8">
        <v>50.0</v>
      </c>
      <c r="D36" s="8">
        <v>16.0</v>
      </c>
      <c r="E36" s="8">
        <f t="shared" si="9"/>
        <v>34</v>
      </c>
      <c r="F36" s="8" t="s">
        <v>104</v>
      </c>
      <c r="G36" s="8">
        <v>257.0</v>
      </c>
      <c r="H36" s="8">
        <v>1.0</v>
      </c>
      <c r="I36" s="8">
        <v>231.0</v>
      </c>
      <c r="J36" s="8">
        <v>223.0</v>
      </c>
      <c r="K36" s="8">
        <f t="shared" si="10"/>
        <v>26</v>
      </c>
      <c r="L36" s="8">
        <v>36.0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75"/>
      <c r="B37" s="8">
        <v>4.0</v>
      </c>
      <c r="C37" s="8">
        <v>68.0</v>
      </c>
      <c r="D37" s="8">
        <v>21.0</v>
      </c>
      <c r="E37" s="8">
        <f t="shared" si="9"/>
        <v>47</v>
      </c>
      <c r="F37" s="76" t="s">
        <v>105</v>
      </c>
      <c r="G37" s="8">
        <v>301.0</v>
      </c>
      <c r="H37" s="8">
        <v>1.0</v>
      </c>
      <c r="I37" s="8">
        <v>265.0</v>
      </c>
      <c r="J37" s="8">
        <v>260.0</v>
      </c>
      <c r="K37" s="8">
        <f t="shared" si="10"/>
        <v>36</v>
      </c>
      <c r="L37" s="8">
        <v>39.0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75"/>
      <c r="B38" s="8">
        <v>5.0</v>
      </c>
      <c r="C38" s="8">
        <v>64.0</v>
      </c>
      <c r="D38" s="8">
        <v>20.0</v>
      </c>
      <c r="E38" s="8">
        <f t="shared" si="9"/>
        <v>44</v>
      </c>
      <c r="F38" s="8" t="s">
        <v>87</v>
      </c>
      <c r="G38" s="76">
        <v>290.0</v>
      </c>
      <c r="H38" s="8">
        <v>1.0</v>
      </c>
      <c r="I38" s="8">
        <v>261.0</v>
      </c>
      <c r="J38" s="8">
        <v>261.0</v>
      </c>
      <c r="K38" s="8">
        <f t="shared" si="10"/>
        <v>29</v>
      </c>
      <c r="L38" s="8">
        <v>41.0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75"/>
      <c r="B39" s="8">
        <v>6.0</v>
      </c>
      <c r="C39" s="8">
        <v>69.0</v>
      </c>
      <c r="D39" s="8">
        <v>17.0</v>
      </c>
      <c r="E39" s="8">
        <f t="shared" si="9"/>
        <v>52</v>
      </c>
      <c r="F39" s="8" t="s">
        <v>94</v>
      </c>
      <c r="G39" s="8">
        <v>307.0</v>
      </c>
      <c r="H39" s="8">
        <v>1.5</v>
      </c>
      <c r="I39" s="8">
        <v>275.0</v>
      </c>
      <c r="J39" s="8">
        <v>274.0</v>
      </c>
      <c r="K39" s="8">
        <f t="shared" si="10"/>
        <v>32</v>
      </c>
      <c r="L39" s="8">
        <v>43.0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75"/>
      <c r="B40" s="8">
        <v>7.0</v>
      </c>
      <c r="C40" s="8">
        <v>67.0</v>
      </c>
      <c r="D40" s="8">
        <v>20.0</v>
      </c>
      <c r="E40" s="8">
        <f t="shared" si="9"/>
        <v>47</v>
      </c>
      <c r="F40" s="8" t="s">
        <v>106</v>
      </c>
      <c r="G40" s="8">
        <v>294.0</v>
      </c>
      <c r="H40" s="8">
        <v>1.0</v>
      </c>
      <c r="I40" s="8">
        <v>259.0</v>
      </c>
      <c r="J40" s="8">
        <v>258.0</v>
      </c>
      <c r="K40" s="8">
        <f t="shared" si="10"/>
        <v>35</v>
      </c>
      <c r="L40" s="8">
        <v>37.0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75"/>
      <c r="B41" s="8">
        <v>8.0</v>
      </c>
      <c r="C41" s="8">
        <v>69.0</v>
      </c>
      <c r="D41" s="8">
        <v>18.0</v>
      </c>
      <c r="E41" s="8">
        <f t="shared" si="9"/>
        <v>51</v>
      </c>
      <c r="F41" s="8" t="s">
        <v>99</v>
      </c>
      <c r="G41" s="8">
        <v>347.0</v>
      </c>
      <c r="H41" s="8">
        <v>1.5</v>
      </c>
      <c r="I41" s="8">
        <v>316.0</v>
      </c>
      <c r="J41" s="8">
        <v>314.0</v>
      </c>
      <c r="K41" s="8">
        <f t="shared" si="10"/>
        <v>31</v>
      </c>
      <c r="L41" s="8">
        <v>47.0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75"/>
      <c r="B42" s="8">
        <v>9.0</v>
      </c>
      <c r="C42" s="8">
        <v>74.0</v>
      </c>
      <c r="D42" s="8">
        <v>19.0</v>
      </c>
      <c r="E42" s="8">
        <f t="shared" si="9"/>
        <v>55</v>
      </c>
      <c r="F42" s="8" t="s">
        <v>107</v>
      </c>
      <c r="G42" s="8">
        <v>328.0</v>
      </c>
      <c r="H42" s="8">
        <v>1.0</v>
      </c>
      <c r="I42" s="8">
        <v>293.0</v>
      </c>
      <c r="J42" s="8">
        <v>291.0</v>
      </c>
      <c r="K42" s="8">
        <f t="shared" si="10"/>
        <v>35</v>
      </c>
      <c r="L42" s="8">
        <v>42.0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75"/>
      <c r="B43" s="8">
        <v>10.0</v>
      </c>
      <c r="C43" s="8">
        <v>59.0</v>
      </c>
      <c r="D43" s="8">
        <v>18.0</v>
      </c>
      <c r="E43" s="8">
        <f t="shared" si="9"/>
        <v>41</v>
      </c>
      <c r="F43" s="8" t="s">
        <v>96</v>
      </c>
      <c r="G43" s="8">
        <v>203.0</v>
      </c>
      <c r="H43" s="8">
        <v>1.0</v>
      </c>
      <c r="I43" s="8">
        <v>180.0</v>
      </c>
      <c r="J43" s="8">
        <v>180.0</v>
      </c>
      <c r="K43" s="8">
        <f t="shared" si="10"/>
        <v>23</v>
      </c>
      <c r="L43" s="8">
        <v>28.0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75"/>
      <c r="B44" s="8">
        <v>11.0</v>
      </c>
      <c r="C44" s="8">
        <v>80.0</v>
      </c>
      <c r="D44" s="8">
        <v>16.0</v>
      </c>
      <c r="E44" s="8">
        <f t="shared" si="9"/>
        <v>64</v>
      </c>
      <c r="F44" s="76" t="s">
        <v>108</v>
      </c>
      <c r="G44" s="8">
        <v>226.0</v>
      </c>
      <c r="H44" s="8">
        <v>1.0</v>
      </c>
      <c r="I44" s="8">
        <v>203.0</v>
      </c>
      <c r="J44" s="8">
        <v>202.0</v>
      </c>
      <c r="K44" s="8">
        <f t="shared" si="10"/>
        <v>23</v>
      </c>
      <c r="L44" s="8">
        <v>37.0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41"/>
      <c r="B45" s="8">
        <v>12.0</v>
      </c>
      <c r="C45" s="8">
        <v>90.0</v>
      </c>
      <c r="D45" s="8">
        <v>18.0</v>
      </c>
      <c r="E45" s="8">
        <f t="shared" si="9"/>
        <v>72</v>
      </c>
      <c r="F45" s="8" t="s">
        <v>109</v>
      </c>
      <c r="G45" s="8">
        <v>274.0</v>
      </c>
      <c r="H45" s="8">
        <v>1.0</v>
      </c>
      <c r="I45" s="8">
        <v>246.0</v>
      </c>
      <c r="J45" s="8">
        <v>246.0</v>
      </c>
      <c r="K45" s="8">
        <f t="shared" si="10"/>
        <v>28</v>
      </c>
      <c r="L45" s="8">
        <v>43.0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77"/>
      <c r="B46" s="28"/>
      <c r="C46" s="78">
        <f t="shared" ref="C46:E46" si="11">average(C34:C45)</f>
        <v>68.91666667</v>
      </c>
      <c r="D46" s="78">
        <f t="shared" si="11"/>
        <v>18.33333333</v>
      </c>
      <c r="E46" s="78">
        <f t="shared" si="11"/>
        <v>50.58333333</v>
      </c>
      <c r="F46" s="28"/>
      <c r="G46" s="78">
        <f t="shared" ref="G46:L46" si="12">average(G34:G45)</f>
        <v>281.4166667</v>
      </c>
      <c r="H46" s="78">
        <f t="shared" si="12"/>
        <v>1.1</v>
      </c>
      <c r="I46" s="78">
        <f t="shared" si="12"/>
        <v>251.75</v>
      </c>
      <c r="J46" s="78">
        <f t="shared" si="12"/>
        <v>249.8333333</v>
      </c>
      <c r="K46" s="78">
        <f t="shared" si="12"/>
        <v>29.66666667</v>
      </c>
      <c r="L46" s="78">
        <f t="shared" si="12"/>
        <v>39.08333333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71" t="s">
        <v>74</v>
      </c>
      <c r="B48" s="72" t="s">
        <v>75</v>
      </c>
      <c r="C48" s="72" t="s">
        <v>76</v>
      </c>
      <c r="D48" s="72" t="s">
        <v>3</v>
      </c>
      <c r="E48" s="72" t="s">
        <v>4</v>
      </c>
      <c r="F48" s="72" t="s">
        <v>77</v>
      </c>
      <c r="G48" s="72" t="s">
        <v>7</v>
      </c>
      <c r="H48" s="72" t="s">
        <v>78</v>
      </c>
      <c r="I48" s="72" t="s">
        <v>79</v>
      </c>
      <c r="J48" s="72" t="s">
        <v>80</v>
      </c>
      <c r="K48" s="72" t="s">
        <v>81</v>
      </c>
      <c r="L48" s="73" t="s">
        <v>82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74" t="s">
        <v>110</v>
      </c>
      <c r="B49" s="8">
        <v>1.0</v>
      </c>
      <c r="C49" s="8">
        <v>75.0</v>
      </c>
      <c r="D49" s="8">
        <v>16.0</v>
      </c>
      <c r="E49" s="8">
        <f t="shared" ref="E49:E60" si="13">Minus(C49,D49)</f>
        <v>59</v>
      </c>
      <c r="F49" s="8" t="s">
        <v>111</v>
      </c>
      <c r="G49" s="8">
        <v>175.0</v>
      </c>
      <c r="H49" s="8">
        <v>0.7</v>
      </c>
      <c r="I49" s="8">
        <v>158.0</v>
      </c>
      <c r="J49" s="8">
        <v>158.0</v>
      </c>
      <c r="K49" s="8">
        <f t="shared" ref="K49:K60" si="14">Minus(G49,I49)</f>
        <v>17</v>
      </c>
      <c r="L49" s="8">
        <v>33.0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75"/>
      <c r="B50" s="8">
        <v>2.0</v>
      </c>
      <c r="C50" s="8">
        <v>67.0</v>
      </c>
      <c r="D50" s="8">
        <v>20.0</v>
      </c>
      <c r="E50" s="8">
        <f t="shared" si="13"/>
        <v>47</v>
      </c>
      <c r="F50" s="8" t="s">
        <v>112</v>
      </c>
      <c r="G50" s="8">
        <v>234.0</v>
      </c>
      <c r="H50" s="8">
        <v>1.0</v>
      </c>
      <c r="I50" s="8">
        <v>230.0</v>
      </c>
      <c r="J50" s="8">
        <v>224.0</v>
      </c>
      <c r="K50" s="8">
        <f t="shared" si="14"/>
        <v>4</v>
      </c>
      <c r="L50" s="8">
        <v>34.0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75"/>
      <c r="B51" s="8">
        <v>3.0</v>
      </c>
      <c r="C51" s="8">
        <v>78.0</v>
      </c>
      <c r="D51" s="8">
        <v>17.0</v>
      </c>
      <c r="E51" s="8">
        <f t="shared" si="13"/>
        <v>61</v>
      </c>
      <c r="F51" s="8" t="s">
        <v>88</v>
      </c>
      <c r="G51" s="8">
        <v>259.0</v>
      </c>
      <c r="H51" s="8">
        <v>1.0</v>
      </c>
      <c r="I51" s="8">
        <v>230.0</v>
      </c>
      <c r="J51" s="8">
        <v>227.0</v>
      </c>
      <c r="K51" s="8">
        <f t="shared" si="14"/>
        <v>29</v>
      </c>
      <c r="L51" s="8">
        <v>43.0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75"/>
      <c r="B52" s="8">
        <v>4.0</v>
      </c>
      <c r="C52" s="8">
        <v>72.0</v>
      </c>
      <c r="D52" s="8">
        <v>18.0</v>
      </c>
      <c r="E52" s="8">
        <f t="shared" si="13"/>
        <v>54</v>
      </c>
      <c r="F52" s="8" t="s">
        <v>105</v>
      </c>
      <c r="G52" s="8">
        <v>275.0</v>
      </c>
      <c r="H52" s="8">
        <v>1.0</v>
      </c>
      <c r="I52" s="8">
        <v>247.0</v>
      </c>
      <c r="J52" s="8">
        <v>243.0</v>
      </c>
      <c r="K52" s="8">
        <f t="shared" si="14"/>
        <v>28</v>
      </c>
      <c r="L52" s="8">
        <v>38.0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75"/>
      <c r="B53" s="8">
        <v>5.0</v>
      </c>
      <c r="C53" s="8">
        <v>62.0</v>
      </c>
      <c r="D53" s="8">
        <v>17.0</v>
      </c>
      <c r="E53" s="8">
        <f t="shared" si="13"/>
        <v>45</v>
      </c>
      <c r="F53" s="8" t="s">
        <v>113</v>
      </c>
      <c r="G53" s="8">
        <v>266.0</v>
      </c>
      <c r="H53" s="8">
        <v>1.0</v>
      </c>
      <c r="I53" s="8">
        <v>239.0</v>
      </c>
      <c r="J53" s="8">
        <v>235.0</v>
      </c>
      <c r="K53" s="8">
        <f t="shared" si="14"/>
        <v>27</v>
      </c>
      <c r="L53" s="8">
        <v>35.0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75"/>
      <c r="B54" s="8">
        <v>6.0</v>
      </c>
      <c r="C54" s="8">
        <v>80.0</v>
      </c>
      <c r="D54" s="8">
        <v>18.0</v>
      </c>
      <c r="E54" s="8">
        <f t="shared" si="13"/>
        <v>62</v>
      </c>
      <c r="F54" s="8" t="s">
        <v>114</v>
      </c>
      <c r="G54" s="8">
        <v>266.0</v>
      </c>
      <c r="H54" s="8">
        <v>1.0</v>
      </c>
      <c r="I54" s="8">
        <v>219.0</v>
      </c>
      <c r="J54" s="8">
        <v>212.0</v>
      </c>
      <c r="K54" s="8">
        <f t="shared" si="14"/>
        <v>47</v>
      </c>
      <c r="L54" s="8">
        <v>35.0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75"/>
      <c r="B55" s="8">
        <v>7.0</v>
      </c>
      <c r="C55" s="8">
        <v>60.0</v>
      </c>
      <c r="D55" s="8">
        <v>17.0</v>
      </c>
      <c r="E55" s="8">
        <f t="shared" si="13"/>
        <v>43</v>
      </c>
      <c r="F55" s="8" t="s">
        <v>109</v>
      </c>
      <c r="G55" s="8">
        <v>226.0</v>
      </c>
      <c r="H55" s="8">
        <v>1.0</v>
      </c>
      <c r="I55" s="8">
        <v>212.0</v>
      </c>
      <c r="J55" s="8">
        <v>193.0</v>
      </c>
      <c r="K55" s="8">
        <f t="shared" si="14"/>
        <v>14</v>
      </c>
      <c r="L55" s="8">
        <v>33.0</v>
      </c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75"/>
      <c r="B56" s="8">
        <v>8.0</v>
      </c>
      <c r="C56" s="8">
        <v>58.0</v>
      </c>
      <c r="D56" s="8">
        <v>19.0</v>
      </c>
      <c r="E56" s="8">
        <f t="shared" si="13"/>
        <v>39</v>
      </c>
      <c r="F56" s="8" t="s">
        <v>115</v>
      </c>
      <c r="G56" s="8">
        <v>264.0</v>
      </c>
      <c r="H56" s="8">
        <v>1.0</v>
      </c>
      <c r="I56" s="8">
        <v>234.0</v>
      </c>
      <c r="J56" s="8">
        <v>234.0</v>
      </c>
      <c r="K56" s="8">
        <f t="shared" si="14"/>
        <v>30</v>
      </c>
      <c r="L56" s="8">
        <v>34.0</v>
      </c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75"/>
      <c r="B57" s="8">
        <v>9.0</v>
      </c>
      <c r="C57" s="8">
        <v>57.0</v>
      </c>
      <c r="D57" s="8">
        <v>18.0</v>
      </c>
      <c r="E57" s="8">
        <f t="shared" si="13"/>
        <v>39</v>
      </c>
      <c r="F57" s="8" t="s">
        <v>116</v>
      </c>
      <c r="G57" s="8">
        <v>277.0</v>
      </c>
      <c r="H57" s="8">
        <v>1.1</v>
      </c>
      <c r="I57" s="8">
        <v>249.0</v>
      </c>
      <c r="J57" s="8">
        <v>249.0</v>
      </c>
      <c r="K57" s="8">
        <f t="shared" si="14"/>
        <v>28</v>
      </c>
      <c r="L57" s="8">
        <v>40.0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75"/>
      <c r="B58" s="8">
        <v>10.0</v>
      </c>
      <c r="C58" s="8">
        <v>68.0</v>
      </c>
      <c r="D58" s="8">
        <v>16.0</v>
      </c>
      <c r="E58" s="8">
        <f t="shared" si="13"/>
        <v>52</v>
      </c>
      <c r="F58" s="8" t="s">
        <v>117</v>
      </c>
      <c r="G58" s="8">
        <v>238.0</v>
      </c>
      <c r="H58" s="8">
        <v>1.0</v>
      </c>
      <c r="I58" s="8">
        <v>208.0</v>
      </c>
      <c r="J58" s="8">
        <v>200.0</v>
      </c>
      <c r="K58" s="8">
        <f t="shared" si="14"/>
        <v>30</v>
      </c>
      <c r="L58" s="8">
        <v>36.0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75"/>
      <c r="B59" s="8">
        <v>11.0</v>
      </c>
      <c r="C59" s="8">
        <v>55.0</v>
      </c>
      <c r="D59" s="8">
        <v>18.0</v>
      </c>
      <c r="E59" s="8">
        <f t="shared" si="13"/>
        <v>37</v>
      </c>
      <c r="F59" s="8" t="s">
        <v>118</v>
      </c>
      <c r="G59" s="8">
        <v>282.0</v>
      </c>
      <c r="H59" s="8">
        <v>1.0</v>
      </c>
      <c r="I59" s="8">
        <v>256.0</v>
      </c>
      <c r="J59" s="8">
        <v>256.0</v>
      </c>
      <c r="K59" s="8">
        <f t="shared" si="14"/>
        <v>26</v>
      </c>
      <c r="L59" s="8">
        <v>49.0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41"/>
      <c r="B60" s="8">
        <v>12.0</v>
      </c>
      <c r="C60" s="8">
        <v>61.0</v>
      </c>
      <c r="D60" s="8">
        <v>18.0</v>
      </c>
      <c r="E60" s="8">
        <f t="shared" si="13"/>
        <v>43</v>
      </c>
      <c r="F60" s="8" t="s">
        <v>109</v>
      </c>
      <c r="G60" s="8">
        <v>234.0</v>
      </c>
      <c r="H60" s="8">
        <v>1.0</v>
      </c>
      <c r="I60" s="8">
        <v>207.0</v>
      </c>
      <c r="J60" s="8">
        <v>206.0</v>
      </c>
      <c r="K60" s="8">
        <f t="shared" si="14"/>
        <v>27</v>
      </c>
      <c r="L60" s="8">
        <v>37.0</v>
      </c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77"/>
      <c r="B61" s="28"/>
      <c r="C61" s="78">
        <f t="shared" ref="C61:E61" si="15">average(C49:C60)</f>
        <v>66.08333333</v>
      </c>
      <c r="D61" s="78">
        <f t="shared" si="15"/>
        <v>17.66666667</v>
      </c>
      <c r="E61" s="78">
        <f t="shared" si="15"/>
        <v>48.41666667</v>
      </c>
      <c r="F61" s="78"/>
      <c r="G61" s="78">
        <f t="shared" ref="G61:L61" si="16">average(G49:G60)</f>
        <v>249.6666667</v>
      </c>
      <c r="H61" s="78">
        <f t="shared" si="16"/>
        <v>0.9833333333</v>
      </c>
      <c r="I61" s="78">
        <f t="shared" si="16"/>
        <v>224.0833333</v>
      </c>
      <c r="J61" s="78">
        <f t="shared" si="16"/>
        <v>219.75</v>
      </c>
      <c r="K61" s="78">
        <f t="shared" si="16"/>
        <v>25.58333333</v>
      </c>
      <c r="L61" s="78">
        <f t="shared" si="16"/>
        <v>37.25</v>
      </c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71" t="s">
        <v>74</v>
      </c>
      <c r="B63" s="72" t="s">
        <v>75</v>
      </c>
      <c r="C63" s="72" t="s">
        <v>76</v>
      </c>
      <c r="D63" s="72" t="s">
        <v>3</v>
      </c>
      <c r="E63" s="72" t="s">
        <v>4</v>
      </c>
      <c r="F63" s="72" t="s">
        <v>77</v>
      </c>
      <c r="G63" s="72" t="s">
        <v>7</v>
      </c>
      <c r="H63" s="72" t="s">
        <v>78</v>
      </c>
      <c r="I63" s="72" t="s">
        <v>79</v>
      </c>
      <c r="J63" s="72" t="s">
        <v>80</v>
      </c>
      <c r="K63" s="72" t="s">
        <v>81</v>
      </c>
      <c r="L63" s="73" t="s">
        <v>82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74" t="s">
        <v>119</v>
      </c>
      <c r="B64" s="8">
        <v>1.0</v>
      </c>
      <c r="C64" s="8">
        <v>57.0</v>
      </c>
      <c r="D64" s="8">
        <v>19.0</v>
      </c>
      <c r="E64" s="8">
        <f t="shared" ref="E64:E75" si="17">Minus(C64,D64)</f>
        <v>38</v>
      </c>
      <c r="F64" s="8" t="s">
        <v>120</v>
      </c>
      <c r="G64" s="8">
        <v>244.0</v>
      </c>
      <c r="H64" s="8">
        <v>1.0</v>
      </c>
      <c r="I64" s="8">
        <v>209.0</v>
      </c>
      <c r="J64" s="8">
        <v>208.0</v>
      </c>
      <c r="K64" s="8">
        <f t="shared" ref="K64:K75" si="18">Minus(G64,I64)</f>
        <v>35</v>
      </c>
      <c r="L64" s="8">
        <v>34.0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75"/>
      <c r="B65" s="8">
        <v>2.0</v>
      </c>
      <c r="C65" s="8">
        <v>56.0</v>
      </c>
      <c r="D65" s="8">
        <v>17.0</v>
      </c>
      <c r="E65" s="8">
        <f t="shared" si="17"/>
        <v>39</v>
      </c>
      <c r="F65" s="8" t="s">
        <v>121</v>
      </c>
      <c r="G65" s="8">
        <v>281.0</v>
      </c>
      <c r="H65" s="8">
        <v>1.0</v>
      </c>
      <c r="I65" s="8">
        <v>245.0</v>
      </c>
      <c r="J65" s="8">
        <v>244.0</v>
      </c>
      <c r="K65" s="8">
        <f t="shared" si="18"/>
        <v>36</v>
      </c>
      <c r="L65" s="8">
        <v>37.0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75"/>
      <c r="B66" s="8">
        <v>3.0</v>
      </c>
      <c r="C66" s="8">
        <v>62.0</v>
      </c>
      <c r="D66" s="8">
        <v>18.0</v>
      </c>
      <c r="E66" s="8">
        <f t="shared" si="17"/>
        <v>44</v>
      </c>
      <c r="F66" s="8" t="s">
        <v>122</v>
      </c>
      <c r="G66" s="8">
        <v>292.0</v>
      </c>
      <c r="H66" s="8">
        <v>1.0</v>
      </c>
      <c r="I66" s="8">
        <v>255.0</v>
      </c>
      <c r="J66" s="8">
        <v>251.0</v>
      </c>
      <c r="K66" s="8">
        <f t="shared" si="18"/>
        <v>37</v>
      </c>
      <c r="L66" s="8">
        <v>43.0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75"/>
      <c r="B67" s="8">
        <v>4.0</v>
      </c>
      <c r="C67" s="8">
        <v>71.0</v>
      </c>
      <c r="D67" s="8">
        <v>18.0</v>
      </c>
      <c r="E67" s="8">
        <f t="shared" si="17"/>
        <v>53</v>
      </c>
      <c r="F67" s="8" t="s">
        <v>123</v>
      </c>
      <c r="G67" s="8">
        <v>260.0</v>
      </c>
      <c r="H67" s="8">
        <v>1.0</v>
      </c>
      <c r="I67" s="8">
        <v>223.0</v>
      </c>
      <c r="J67" s="8">
        <v>221.0</v>
      </c>
      <c r="K67" s="8">
        <f t="shared" si="18"/>
        <v>37</v>
      </c>
      <c r="L67" s="8">
        <v>38.0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75"/>
      <c r="B68" s="8">
        <v>5.0</v>
      </c>
      <c r="C68" s="8">
        <v>67.0</v>
      </c>
      <c r="D68" s="8">
        <v>19.0</v>
      </c>
      <c r="E68" s="8">
        <f t="shared" si="17"/>
        <v>48</v>
      </c>
      <c r="F68" s="8" t="s">
        <v>124</v>
      </c>
      <c r="G68" s="8">
        <v>315.0</v>
      </c>
      <c r="H68" s="8">
        <v>1.0</v>
      </c>
      <c r="I68" s="8">
        <v>271.0</v>
      </c>
      <c r="J68" s="8">
        <v>264.0</v>
      </c>
      <c r="K68" s="8">
        <f t="shared" si="18"/>
        <v>44</v>
      </c>
      <c r="L68" s="8">
        <v>43.0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75"/>
      <c r="B69" s="8">
        <v>6.0</v>
      </c>
      <c r="C69" s="8">
        <v>60.0</v>
      </c>
      <c r="D69" s="8">
        <v>19.0</v>
      </c>
      <c r="E69" s="8">
        <f t="shared" si="17"/>
        <v>41</v>
      </c>
      <c r="F69" s="8" t="s">
        <v>125</v>
      </c>
      <c r="G69" s="8">
        <v>282.0</v>
      </c>
      <c r="H69" s="8">
        <v>1.0</v>
      </c>
      <c r="I69" s="8">
        <v>244.0</v>
      </c>
      <c r="J69" s="8">
        <v>242.0</v>
      </c>
      <c r="K69" s="8">
        <f t="shared" si="18"/>
        <v>38</v>
      </c>
      <c r="L69" s="8">
        <v>39.0</v>
      </c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75"/>
      <c r="B70" s="8">
        <v>7.0</v>
      </c>
      <c r="C70" s="8">
        <v>63.0</v>
      </c>
      <c r="D70" s="8">
        <v>19.0</v>
      </c>
      <c r="E70" s="8">
        <f t="shared" si="17"/>
        <v>44</v>
      </c>
      <c r="F70" s="8" t="s">
        <v>124</v>
      </c>
      <c r="G70" s="8">
        <v>274.0</v>
      </c>
      <c r="H70" s="8">
        <v>1.0</v>
      </c>
      <c r="I70" s="8">
        <v>236.0</v>
      </c>
      <c r="J70" s="8">
        <v>232.0</v>
      </c>
      <c r="K70" s="8">
        <f t="shared" si="18"/>
        <v>38</v>
      </c>
      <c r="L70" s="8">
        <v>45.0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75"/>
      <c r="B71" s="8">
        <v>8.0</v>
      </c>
      <c r="C71" s="8">
        <v>62.0</v>
      </c>
      <c r="D71" s="8">
        <v>19.0</v>
      </c>
      <c r="E71" s="8">
        <f t="shared" si="17"/>
        <v>43</v>
      </c>
      <c r="F71" s="8" t="s">
        <v>88</v>
      </c>
      <c r="G71" s="8">
        <v>290.0</v>
      </c>
      <c r="H71" s="8">
        <v>1.0</v>
      </c>
      <c r="I71" s="8">
        <v>251.0</v>
      </c>
      <c r="J71" s="8">
        <v>245.0</v>
      </c>
      <c r="K71" s="8">
        <f t="shared" si="18"/>
        <v>39</v>
      </c>
      <c r="L71" s="8">
        <v>34.0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75"/>
      <c r="B72" s="8">
        <v>9.0</v>
      </c>
      <c r="C72" s="76">
        <v>72.0</v>
      </c>
      <c r="D72" s="8">
        <v>18.0</v>
      </c>
      <c r="E72" s="8">
        <f t="shared" si="17"/>
        <v>54</v>
      </c>
      <c r="F72" s="8" t="s">
        <v>126</v>
      </c>
      <c r="G72" s="8">
        <v>260.0</v>
      </c>
      <c r="H72" s="8">
        <v>1.0</v>
      </c>
      <c r="I72" s="8">
        <v>222.0</v>
      </c>
      <c r="J72" s="8">
        <v>216.0</v>
      </c>
      <c r="K72" s="8">
        <f t="shared" si="18"/>
        <v>38</v>
      </c>
      <c r="L72" s="8">
        <v>40.0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75"/>
      <c r="B73" s="8">
        <v>10.0</v>
      </c>
      <c r="C73" s="8">
        <v>64.0</v>
      </c>
      <c r="D73" s="8">
        <v>19.0</v>
      </c>
      <c r="E73" s="8">
        <f t="shared" si="17"/>
        <v>45</v>
      </c>
      <c r="F73" s="8" t="s">
        <v>121</v>
      </c>
      <c r="G73" s="8">
        <v>240.0</v>
      </c>
      <c r="H73" s="8">
        <v>1.0</v>
      </c>
      <c r="I73" s="8">
        <v>206.0</v>
      </c>
      <c r="J73" s="76">
        <v>200.0</v>
      </c>
      <c r="K73" s="8">
        <f t="shared" si="18"/>
        <v>34</v>
      </c>
      <c r="L73" s="8">
        <v>37.0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75"/>
      <c r="B74" s="8">
        <v>11.0</v>
      </c>
      <c r="C74" s="8">
        <v>56.0</v>
      </c>
      <c r="D74" s="8">
        <v>17.0</v>
      </c>
      <c r="E74" s="8">
        <f t="shared" si="17"/>
        <v>39</v>
      </c>
      <c r="F74" s="8" t="s">
        <v>111</v>
      </c>
      <c r="G74" s="8">
        <v>264.0</v>
      </c>
      <c r="H74" s="8">
        <v>1.0</v>
      </c>
      <c r="I74" s="8">
        <v>228.0</v>
      </c>
      <c r="J74" s="8">
        <v>227.0</v>
      </c>
      <c r="K74" s="8">
        <f t="shared" si="18"/>
        <v>36</v>
      </c>
      <c r="L74" s="8">
        <v>45.0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41"/>
      <c r="B75" s="8">
        <v>12.0</v>
      </c>
      <c r="C75" s="8">
        <v>54.0</v>
      </c>
      <c r="D75" s="8">
        <v>16.0</v>
      </c>
      <c r="E75" s="8">
        <f t="shared" si="17"/>
        <v>38</v>
      </c>
      <c r="F75" s="8" t="s">
        <v>127</v>
      </c>
      <c r="G75" s="8">
        <v>250.0</v>
      </c>
      <c r="H75" s="8">
        <v>1.0</v>
      </c>
      <c r="I75" s="8">
        <v>216.0</v>
      </c>
      <c r="J75" s="8">
        <v>212.0</v>
      </c>
      <c r="K75" s="8">
        <f t="shared" si="18"/>
        <v>34</v>
      </c>
      <c r="L75" s="8">
        <v>46.0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77"/>
      <c r="B76" s="28"/>
      <c r="C76" s="78">
        <f t="shared" ref="C76:E76" si="19">average(C64:C75)</f>
        <v>62</v>
      </c>
      <c r="D76" s="78">
        <f t="shared" si="19"/>
        <v>18.16666667</v>
      </c>
      <c r="E76" s="78">
        <f t="shared" si="19"/>
        <v>43.83333333</v>
      </c>
      <c r="F76" s="28"/>
      <c r="G76" s="78">
        <f t="shared" ref="G76:L76" si="20">average(G64:G75)</f>
        <v>271</v>
      </c>
      <c r="H76" s="78">
        <f t="shared" si="20"/>
        <v>1</v>
      </c>
      <c r="I76" s="78">
        <f t="shared" si="20"/>
        <v>233.8333333</v>
      </c>
      <c r="J76" s="78">
        <f t="shared" si="20"/>
        <v>230.1666667</v>
      </c>
      <c r="K76" s="78">
        <f t="shared" si="20"/>
        <v>37.16666667</v>
      </c>
      <c r="L76" s="78">
        <f t="shared" si="20"/>
        <v>40.08333333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68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71" t="s">
        <v>74</v>
      </c>
      <c r="B78" s="72" t="s">
        <v>75</v>
      </c>
      <c r="C78" s="72" t="s">
        <v>76</v>
      </c>
      <c r="D78" s="72" t="s">
        <v>3</v>
      </c>
      <c r="E78" s="72" t="s">
        <v>4</v>
      </c>
      <c r="F78" s="72" t="s">
        <v>77</v>
      </c>
      <c r="G78" s="72" t="s">
        <v>7</v>
      </c>
      <c r="H78" s="72" t="s">
        <v>78</v>
      </c>
      <c r="I78" s="72" t="s">
        <v>79</v>
      </c>
      <c r="J78" s="72" t="s">
        <v>80</v>
      </c>
      <c r="K78" s="72" t="s">
        <v>81</v>
      </c>
      <c r="L78" s="73" t="s">
        <v>82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74" t="s">
        <v>128</v>
      </c>
      <c r="B79" s="8">
        <v>1.0</v>
      </c>
      <c r="C79" s="8">
        <v>63.0</v>
      </c>
      <c r="D79" s="8">
        <v>15.0</v>
      </c>
      <c r="E79" s="8">
        <f t="shared" ref="E79:E90" si="21">Minus(C79,D79)</f>
        <v>48</v>
      </c>
      <c r="F79" s="8" t="s">
        <v>129</v>
      </c>
      <c r="G79" s="8">
        <v>241.0</v>
      </c>
      <c r="H79" s="8">
        <v>1.0</v>
      </c>
      <c r="I79" s="8">
        <v>206.0</v>
      </c>
      <c r="J79" s="8">
        <v>205.0</v>
      </c>
      <c r="K79" s="8">
        <f t="shared" ref="K79:K90" si="22">Minus(G79,I79)</f>
        <v>35</v>
      </c>
      <c r="L79" s="8">
        <v>38.0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75"/>
      <c r="B80" s="8">
        <v>2.0</v>
      </c>
      <c r="C80" s="8">
        <v>78.0</v>
      </c>
      <c r="D80" s="8">
        <v>18.0</v>
      </c>
      <c r="E80" s="8">
        <f t="shared" si="21"/>
        <v>60</v>
      </c>
      <c r="F80" s="8" t="s">
        <v>130</v>
      </c>
      <c r="G80" s="8">
        <v>244.0</v>
      </c>
      <c r="H80" s="8">
        <v>1.0</v>
      </c>
      <c r="I80" s="8">
        <v>205.0</v>
      </c>
      <c r="J80" s="8">
        <v>203.0</v>
      </c>
      <c r="K80" s="8">
        <f t="shared" si="22"/>
        <v>39</v>
      </c>
      <c r="L80" s="8">
        <v>42.0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75"/>
      <c r="B81" s="8">
        <v>3.0</v>
      </c>
      <c r="C81" s="8">
        <v>75.0</v>
      </c>
      <c r="D81" s="8">
        <v>17.0</v>
      </c>
      <c r="E81" s="8">
        <f t="shared" si="21"/>
        <v>58</v>
      </c>
      <c r="F81" s="8" t="s">
        <v>125</v>
      </c>
      <c r="G81" s="8">
        <v>203.0</v>
      </c>
      <c r="H81" s="8">
        <v>1.0</v>
      </c>
      <c r="I81" s="8">
        <v>171.0</v>
      </c>
      <c r="J81" s="8">
        <v>167.0</v>
      </c>
      <c r="K81" s="8">
        <f t="shared" si="22"/>
        <v>32</v>
      </c>
      <c r="L81" s="8">
        <v>37.0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75"/>
      <c r="B82" s="8">
        <v>4.0</v>
      </c>
      <c r="C82" s="8">
        <v>59.0</v>
      </c>
      <c r="D82" s="8">
        <v>16.0</v>
      </c>
      <c r="E82" s="8">
        <f t="shared" si="21"/>
        <v>43</v>
      </c>
      <c r="F82" s="8" t="s">
        <v>113</v>
      </c>
      <c r="G82" s="8">
        <v>304.0</v>
      </c>
      <c r="H82" s="8">
        <v>1.5</v>
      </c>
      <c r="I82" s="8">
        <v>264.0</v>
      </c>
      <c r="J82" s="8">
        <v>255.0</v>
      </c>
      <c r="K82" s="8">
        <f t="shared" si="22"/>
        <v>40</v>
      </c>
      <c r="L82" s="8">
        <v>42.0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75"/>
      <c r="B83" s="8">
        <v>5.0</v>
      </c>
      <c r="C83" s="8">
        <v>72.0</v>
      </c>
      <c r="D83" s="8">
        <v>18.0</v>
      </c>
      <c r="E83" s="8">
        <f t="shared" si="21"/>
        <v>54</v>
      </c>
      <c r="F83" s="8" t="s">
        <v>131</v>
      </c>
      <c r="G83" s="8">
        <v>268.0</v>
      </c>
      <c r="H83" s="8">
        <v>1.0</v>
      </c>
      <c r="I83" s="8">
        <v>228.0</v>
      </c>
      <c r="J83" s="8">
        <v>217.0</v>
      </c>
      <c r="K83" s="8">
        <f t="shared" si="22"/>
        <v>40</v>
      </c>
      <c r="L83" s="8">
        <v>39.0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75"/>
      <c r="B84" s="8">
        <v>6.0</v>
      </c>
      <c r="C84" s="8">
        <v>50.0</v>
      </c>
      <c r="D84" s="8">
        <v>20.0</v>
      </c>
      <c r="E84" s="8">
        <f t="shared" si="21"/>
        <v>30</v>
      </c>
      <c r="F84" s="8" t="s">
        <v>132</v>
      </c>
      <c r="G84" s="8">
        <v>254.0</v>
      </c>
      <c r="H84" s="8">
        <v>1.0</v>
      </c>
      <c r="I84" s="8">
        <v>216.0</v>
      </c>
      <c r="J84" s="8">
        <v>216.0</v>
      </c>
      <c r="K84" s="8">
        <f t="shared" si="22"/>
        <v>38</v>
      </c>
      <c r="L84" s="8">
        <v>41.0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75"/>
      <c r="B85" s="8">
        <v>7.0</v>
      </c>
      <c r="C85" s="8">
        <v>57.0</v>
      </c>
      <c r="D85" s="8">
        <v>20.0</v>
      </c>
      <c r="E85" s="8">
        <f t="shared" si="21"/>
        <v>37</v>
      </c>
      <c r="F85" s="8" t="s">
        <v>133</v>
      </c>
      <c r="G85" s="8">
        <v>235.0</v>
      </c>
      <c r="H85" s="8">
        <v>1.0</v>
      </c>
      <c r="I85" s="8">
        <v>219.0</v>
      </c>
      <c r="J85" s="8">
        <v>210.0</v>
      </c>
      <c r="K85" s="8">
        <f t="shared" si="22"/>
        <v>16</v>
      </c>
      <c r="L85" s="8">
        <v>37.0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75"/>
      <c r="B86" s="8">
        <v>8.0</v>
      </c>
      <c r="C86" s="8">
        <v>54.0</v>
      </c>
      <c r="D86" s="8">
        <v>18.0</v>
      </c>
      <c r="E86" s="8">
        <f t="shared" si="21"/>
        <v>36</v>
      </c>
      <c r="F86" s="8" t="s">
        <v>134</v>
      </c>
      <c r="G86" s="8">
        <v>221.0</v>
      </c>
      <c r="H86" s="8">
        <v>1.0</v>
      </c>
      <c r="I86" s="8">
        <v>187.0</v>
      </c>
      <c r="J86" s="8">
        <v>184.0</v>
      </c>
      <c r="K86" s="8">
        <f t="shared" si="22"/>
        <v>34</v>
      </c>
      <c r="L86" s="8">
        <v>37.0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75"/>
      <c r="B87" s="8">
        <v>9.0</v>
      </c>
      <c r="C87" s="8">
        <v>62.0</v>
      </c>
      <c r="D87" s="8">
        <v>17.0</v>
      </c>
      <c r="E87" s="8">
        <f t="shared" si="21"/>
        <v>45</v>
      </c>
      <c r="F87" s="8" t="s">
        <v>135</v>
      </c>
      <c r="G87" s="8">
        <v>224.0</v>
      </c>
      <c r="H87" s="8">
        <v>1.0</v>
      </c>
      <c r="I87" s="8">
        <v>190.0</v>
      </c>
      <c r="J87" s="8">
        <v>187.0</v>
      </c>
      <c r="K87" s="8">
        <f t="shared" si="22"/>
        <v>34</v>
      </c>
      <c r="L87" s="8">
        <v>35.0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75"/>
      <c r="B88" s="8">
        <v>10.0</v>
      </c>
      <c r="C88" s="8">
        <v>55.0</v>
      </c>
      <c r="D88" s="8">
        <v>16.0</v>
      </c>
      <c r="E88" s="8">
        <f t="shared" si="21"/>
        <v>39</v>
      </c>
      <c r="F88" s="8" t="s">
        <v>136</v>
      </c>
      <c r="G88" s="8">
        <v>200.0</v>
      </c>
      <c r="H88" s="8">
        <v>1.0</v>
      </c>
      <c r="I88" s="8">
        <v>166.0</v>
      </c>
      <c r="J88" s="8">
        <v>162.0</v>
      </c>
      <c r="K88" s="8">
        <f t="shared" si="22"/>
        <v>34</v>
      </c>
      <c r="L88" s="8">
        <v>36.0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75"/>
      <c r="B89" s="8">
        <v>11.0</v>
      </c>
      <c r="C89" s="8">
        <v>56.0</v>
      </c>
      <c r="D89" s="8">
        <v>16.0</v>
      </c>
      <c r="E89" s="8">
        <f t="shared" si="21"/>
        <v>40</v>
      </c>
      <c r="F89" s="8" t="s">
        <v>137</v>
      </c>
      <c r="G89" s="8">
        <v>282.0</v>
      </c>
      <c r="H89" s="8">
        <v>1.2</v>
      </c>
      <c r="I89" s="8">
        <v>238.0</v>
      </c>
      <c r="J89" s="8">
        <v>236.0</v>
      </c>
      <c r="K89" s="8">
        <f t="shared" si="22"/>
        <v>44</v>
      </c>
      <c r="L89" s="8">
        <v>44.0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41"/>
      <c r="B90" s="8">
        <v>12.0</v>
      </c>
      <c r="C90" s="8">
        <v>57.0</v>
      </c>
      <c r="D90" s="8">
        <v>15.0</v>
      </c>
      <c r="E90" s="8">
        <f t="shared" si="21"/>
        <v>42</v>
      </c>
      <c r="F90" s="8" t="s">
        <v>138</v>
      </c>
      <c r="G90" s="8">
        <v>223.0</v>
      </c>
      <c r="H90" s="8">
        <v>1.0</v>
      </c>
      <c r="I90" s="8">
        <v>191.0</v>
      </c>
      <c r="J90" s="8">
        <v>191.0</v>
      </c>
      <c r="K90" s="8">
        <f t="shared" si="22"/>
        <v>32</v>
      </c>
      <c r="L90" s="8">
        <v>36.0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77"/>
      <c r="B91" s="28"/>
      <c r="C91" s="78">
        <f t="shared" ref="C91:E91" si="23">average(C79:C90)</f>
        <v>61.5</v>
      </c>
      <c r="D91" s="78">
        <f t="shared" si="23"/>
        <v>17.16666667</v>
      </c>
      <c r="E91" s="78">
        <f t="shared" si="23"/>
        <v>44.33333333</v>
      </c>
      <c r="F91" s="28"/>
      <c r="G91" s="78">
        <f t="shared" ref="G91:L91" si="24">average(G79:G90)</f>
        <v>241.5833333</v>
      </c>
      <c r="H91" s="78">
        <f t="shared" si="24"/>
        <v>1.058333333</v>
      </c>
      <c r="I91" s="78">
        <f t="shared" si="24"/>
        <v>206.75</v>
      </c>
      <c r="J91" s="78">
        <f t="shared" si="24"/>
        <v>202.75</v>
      </c>
      <c r="K91" s="78">
        <f t="shared" si="24"/>
        <v>34.83333333</v>
      </c>
      <c r="L91" s="78">
        <f t="shared" si="24"/>
        <v>38.66666667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7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7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7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7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7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7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7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7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7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7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77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77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7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77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7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7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77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77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7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7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7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7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77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7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77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7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77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77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7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77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77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77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77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7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77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7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7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77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7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77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77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7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77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77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77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7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77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77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77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77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77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7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7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7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7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7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77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77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7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7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77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77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77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77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7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77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77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77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77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77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7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7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7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77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7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7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77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77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77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77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77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77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77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77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77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77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77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77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77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7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77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77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77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7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77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77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7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7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77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77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77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77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77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77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77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77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7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77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7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77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77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77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7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7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77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77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77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77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77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7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77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77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77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77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77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77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77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7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77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77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77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77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77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77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77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77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77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77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77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77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77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77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77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77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77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77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77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77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77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7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77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77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77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77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77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77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77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77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77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77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77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77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77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77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77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77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77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77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77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77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77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77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77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7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77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77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77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77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77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77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77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77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77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77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77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77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77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77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77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77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77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77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77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77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77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77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77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77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7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77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77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77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77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77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77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77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77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77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77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77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77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77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77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77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77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77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77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77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77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77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77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77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77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77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77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77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77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77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77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77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77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77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77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77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77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77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77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77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77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77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77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77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77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77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77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77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77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77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77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77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77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77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77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77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77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77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77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7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77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77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77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77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77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77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77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77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77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77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77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77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77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77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77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77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77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77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77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77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77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77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77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77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77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77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77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77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77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77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77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77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77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77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77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77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77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77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77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77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77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77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7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77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77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77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77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77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77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77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77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77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77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77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77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77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77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77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77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77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77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77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77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77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77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77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77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77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77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77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77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77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77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77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77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77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77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77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77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77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77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77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77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77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77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77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77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77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77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77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77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77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77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77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77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77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77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77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77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77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77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77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77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77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77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77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77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77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77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77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77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77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77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77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77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77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77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77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77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77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77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77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77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77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77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77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77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77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77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77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77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77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77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77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77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77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77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77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77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77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77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77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77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77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77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77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77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77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77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77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77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77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77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77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77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77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77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77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77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77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77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77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77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77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77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77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77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77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77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77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77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77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77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77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77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77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77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77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77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77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77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77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77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77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77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77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77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77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77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77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77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77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77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77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77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77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77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77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77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77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77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77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77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77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77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77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77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77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77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77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77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77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77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77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77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77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77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77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77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77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77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77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77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77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77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77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77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77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77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77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77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77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77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77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77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77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77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77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77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77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77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77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77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77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77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77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77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77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77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77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77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77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77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77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77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77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77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77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77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77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77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77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77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77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77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77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77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77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77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77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77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77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77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77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77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77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77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77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77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77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77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77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77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77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77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77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77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77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77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77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77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77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77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77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77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77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77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77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77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77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77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77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77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77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77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77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77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77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77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77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77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77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77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77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77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77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77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77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77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77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77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77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77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77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77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77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77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77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77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77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77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77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77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77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77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77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77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77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77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77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77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77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77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77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77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77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77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77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77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77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77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77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77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77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77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77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77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77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77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77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77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77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7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7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7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7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7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7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7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7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7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7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7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7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7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7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7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7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7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7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7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7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7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7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7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7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7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7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7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7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7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7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7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7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7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7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7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7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7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7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77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77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77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77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77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77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77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77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77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77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77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77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77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77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77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77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77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77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77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77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77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77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77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77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77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77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77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77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77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77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77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77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77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77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77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77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77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77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77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77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77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77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77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77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77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77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77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77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77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77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77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77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77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77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77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77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77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77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77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77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77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77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77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77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77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77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77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77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77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77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77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77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77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77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77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77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77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77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77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77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77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77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77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77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77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77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77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77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77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77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77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77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77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77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77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77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77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77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77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77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77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77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77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77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77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77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77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77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77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77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77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77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77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77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77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77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77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77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77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77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77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77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77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77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77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77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77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77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77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77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77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77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77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77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77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77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77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77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77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77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77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77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77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77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77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77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77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77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77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77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77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77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77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77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77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77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77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77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77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77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77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77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77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77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77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77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77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77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77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77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77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77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77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77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77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77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77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77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77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77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77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77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77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77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77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77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77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77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77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77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77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77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77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77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77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77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77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77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77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77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77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77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77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77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77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77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77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77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77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77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77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77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77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77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77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77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77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77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77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77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77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77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77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77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77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77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77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77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77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77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77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77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77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77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77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77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77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77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77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77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77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77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77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77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77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77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77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77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77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77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7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">
    <mergeCell ref="A4:A15"/>
    <mergeCell ref="A19:A30"/>
    <mergeCell ref="A34:A45"/>
    <mergeCell ref="A49:A60"/>
    <mergeCell ref="A64:A75"/>
    <mergeCell ref="A79:A90"/>
  </mergeCells>
  <drawing r:id="rId1"/>
</worksheet>
</file>